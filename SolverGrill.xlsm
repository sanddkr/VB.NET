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showInkAnnotation="0" codeName="ThisWorkbook" hidePivotFieldList="1"/>
  <mc:AlternateContent xmlns:mc="http://schemas.openxmlformats.org/markup-compatibility/2006">
    <mc:Choice Requires="x15">
      <x15ac:absPath xmlns:x15ac="http://schemas.microsoft.com/office/spreadsheetml/2010/11/ac" url="C:\Users\Sand\Downloads\AllGOIN\Fall17\HW8_Sandeep\HW8_Sandeep\"/>
    </mc:Choice>
  </mc:AlternateContent>
  <xr:revisionPtr revIDLastSave="0" documentId="13_ncr:1_{9E7A6D3E-DA08-4BF8-83D0-0C69C9972D1B}" xr6:coauthVersionLast="33" xr6:coauthVersionMax="33" xr10:uidLastSave="{00000000-0000-0000-0000-000000000000}"/>
  <bookViews>
    <workbookView xWindow="600" yWindow="270" windowWidth="11100" windowHeight="6600" xr2:uid="{00000000-000D-0000-FFFF-FFFF00000000}"/>
  </bookViews>
  <sheets>
    <sheet name="Documentation" sheetId="5" r:id="rId1"/>
    <sheet name="GUI" sheetId="6" r:id="rId2"/>
    <sheet name="Order" sheetId="4" r:id="rId3"/>
    <sheet name="SalesData" sheetId="7" r:id="rId4"/>
    <sheet name="DASBOARD " sheetId="9" r:id="rId5"/>
    <sheet name="PivotTable1" sheetId="8" r:id="rId6"/>
    <sheet name="PivotTable2" sheetId="10" r:id="rId7"/>
    <sheet name="PivotTable3" sheetId="11" r:id="rId8"/>
  </sheets>
  <definedNames>
    <definedName name="Slicer_Item">#N/A</definedName>
    <definedName name="Slicer_Region">#N/A</definedName>
    <definedName name="Slicer_Rep">#N/A</definedName>
    <definedName name="solver_adj" localSheetId="2" hidden="1">Order!$B$6:$E$6</definedName>
    <definedName name="solver_cvg" localSheetId="2" hidden="1">0.0001</definedName>
    <definedName name="solver_drv" localSheetId="2" hidden="1">1</definedName>
    <definedName name="solver_eng" localSheetId="2" hidden="1">2</definedName>
    <definedName name="solver_est" localSheetId="2" hidden="1">1</definedName>
    <definedName name="solver_itr" localSheetId="2" hidden="1">2147483647</definedName>
    <definedName name="solver_lhs1" localSheetId="2" hidden="1">Order!$B$6:$E$6</definedName>
    <definedName name="solver_lhs10" localSheetId="2" hidden="1">Order!$C$6</definedName>
    <definedName name="solver_lhs100" localSheetId="2" hidden="1">Order!$E$6</definedName>
    <definedName name="solver_lhs101" localSheetId="2" hidden="1">Order!$E$6</definedName>
    <definedName name="solver_lhs102" localSheetId="2" hidden="1">Order!$E$6</definedName>
    <definedName name="solver_lhs103" localSheetId="2" hidden="1">Order!$E$6</definedName>
    <definedName name="solver_lhs104" localSheetId="2" hidden="1">Order!$E$6</definedName>
    <definedName name="solver_lhs105" localSheetId="2" hidden="1">Order!$E$6</definedName>
    <definedName name="solver_lhs106" localSheetId="2" hidden="1">Order!$E$6</definedName>
    <definedName name="solver_lhs107" localSheetId="2" hidden="1">Order!$E$6</definedName>
    <definedName name="solver_lhs108" localSheetId="2" hidden="1">Order!$E$6</definedName>
    <definedName name="solver_lhs109" localSheetId="2" hidden="1">Order!$E$6</definedName>
    <definedName name="solver_lhs11" localSheetId="2" hidden="1">Order!$C$6</definedName>
    <definedName name="solver_lhs110" localSheetId="2" hidden="1">Order!$E$6</definedName>
    <definedName name="solver_lhs111" localSheetId="2" hidden="1">Order!$E$6</definedName>
    <definedName name="solver_lhs112" localSheetId="2" hidden="1">Order!$E$6</definedName>
    <definedName name="solver_lhs113" localSheetId="2" hidden="1">Order!$E$6</definedName>
    <definedName name="solver_lhs114" localSheetId="2" hidden="1">Order!$E$6</definedName>
    <definedName name="solver_lhs115" localSheetId="2" hidden="1">Order!$E$6</definedName>
    <definedName name="solver_lhs116" localSheetId="2" hidden="1">Order!$E$6</definedName>
    <definedName name="solver_lhs117" localSheetId="2" hidden="1">Order!$E$6</definedName>
    <definedName name="solver_lhs118" localSheetId="2" hidden="1">Order!$E$6</definedName>
    <definedName name="solver_lhs119" localSheetId="2" hidden="1">Order!$E$6</definedName>
    <definedName name="solver_lhs12" localSheetId="2" hidden="1">Order!$C$6</definedName>
    <definedName name="solver_lhs120" localSheetId="2" hidden="1">Order!$E$6</definedName>
    <definedName name="solver_lhs121" localSheetId="2" hidden="1">Order!$E$6</definedName>
    <definedName name="solver_lhs122" localSheetId="2" hidden="1">Order!$E$6</definedName>
    <definedName name="solver_lhs123" localSheetId="2" hidden="1">Order!$E$6</definedName>
    <definedName name="solver_lhs124" localSheetId="2" hidden="1">Order!$E$6</definedName>
    <definedName name="solver_lhs125" localSheetId="2" hidden="1">Order!$E$6</definedName>
    <definedName name="solver_lhs126" localSheetId="2" hidden="1">Order!$E$6</definedName>
    <definedName name="solver_lhs127" localSheetId="2" hidden="1">Order!$E$6</definedName>
    <definedName name="solver_lhs128" localSheetId="2" hidden="1">Order!$E$6</definedName>
    <definedName name="solver_lhs129" localSheetId="2" hidden="1">Order!$E$6</definedName>
    <definedName name="solver_lhs13" localSheetId="2" hidden="1">Order!$C$6</definedName>
    <definedName name="solver_lhs130" localSheetId="2" hidden="1">Order!$E$6</definedName>
    <definedName name="solver_lhs131" localSheetId="2" hidden="1">Order!$E$6</definedName>
    <definedName name="solver_lhs132" localSheetId="2" hidden="1">Order!$E$6</definedName>
    <definedName name="solver_lhs133" localSheetId="2" hidden="1">Order!$E$6</definedName>
    <definedName name="solver_lhs134" localSheetId="2" hidden="1">Order!$E$6</definedName>
    <definedName name="solver_lhs135" localSheetId="2" hidden="1">Order!$E$6</definedName>
    <definedName name="solver_lhs136" localSheetId="2" hidden="1">Order!$E$6</definedName>
    <definedName name="solver_lhs137" localSheetId="2" hidden="1">Order!$E$6</definedName>
    <definedName name="solver_lhs138" localSheetId="2" hidden="1">Order!$E$6</definedName>
    <definedName name="solver_lhs139" localSheetId="2" hidden="1">Order!$E$6</definedName>
    <definedName name="solver_lhs14" localSheetId="2" hidden="1">Order!$C$6</definedName>
    <definedName name="solver_lhs140" localSheetId="2" hidden="1">Order!$E$6</definedName>
    <definedName name="solver_lhs141" localSheetId="2" hidden="1">Order!$E$6</definedName>
    <definedName name="solver_lhs142" localSheetId="2" hidden="1">Order!$E$6</definedName>
    <definedName name="solver_lhs143" localSheetId="2" hidden="1">Order!$E$6</definedName>
    <definedName name="solver_lhs144" localSheetId="2" hidden="1">Order!$E$6</definedName>
    <definedName name="solver_lhs145" localSheetId="2" hidden="1">Order!$E$6</definedName>
    <definedName name="solver_lhs146" localSheetId="2" hidden="1">Order!$E$6</definedName>
    <definedName name="solver_lhs147" localSheetId="2" hidden="1">Order!$E$6</definedName>
    <definedName name="solver_lhs148" localSheetId="2" hidden="1">Order!$E$6</definedName>
    <definedName name="solver_lhs149" localSheetId="2" hidden="1">Order!$E$6</definedName>
    <definedName name="solver_lhs15" localSheetId="2" hidden="1">Order!$C$6</definedName>
    <definedName name="solver_lhs150" localSheetId="2" hidden="1">Order!$E$6</definedName>
    <definedName name="solver_lhs151" localSheetId="2" hidden="1">Order!$E$6</definedName>
    <definedName name="solver_lhs152" localSheetId="2" hidden="1">Order!$E$6</definedName>
    <definedName name="solver_lhs153" localSheetId="2" hidden="1">Order!$E$6</definedName>
    <definedName name="solver_lhs154" localSheetId="2" hidden="1">Order!$E$6</definedName>
    <definedName name="solver_lhs155" localSheetId="2" hidden="1">Order!$E$6</definedName>
    <definedName name="solver_lhs156" localSheetId="2" hidden="1">Order!$E$6</definedName>
    <definedName name="solver_lhs157" localSheetId="2" hidden="1">Order!$E$6</definedName>
    <definedName name="solver_lhs158" localSheetId="2" hidden="1">Order!$E$6</definedName>
    <definedName name="solver_lhs159" localSheetId="2" hidden="1">Order!$E$6</definedName>
    <definedName name="solver_lhs16" localSheetId="2" hidden="1">Order!$C$6</definedName>
    <definedName name="solver_lhs160" localSheetId="2" hidden="1">Order!$E$6</definedName>
    <definedName name="solver_lhs161" localSheetId="2" hidden="1">Order!$E$6</definedName>
    <definedName name="solver_lhs162" localSheetId="2" hidden="1">Order!$E$6</definedName>
    <definedName name="solver_lhs163" localSheetId="2" hidden="1">Order!$E$6</definedName>
    <definedName name="solver_lhs164" localSheetId="2" hidden="1">Order!$E$6</definedName>
    <definedName name="solver_lhs165" localSheetId="2" hidden="1">Order!$E$6</definedName>
    <definedName name="solver_lhs166" localSheetId="2" hidden="1">Order!$E$6</definedName>
    <definedName name="solver_lhs167" localSheetId="2" hidden="1">Order!$E$6</definedName>
    <definedName name="solver_lhs168" localSheetId="2" hidden="1">Order!$E$6</definedName>
    <definedName name="solver_lhs169" localSheetId="2" hidden="1">Order!$E$6</definedName>
    <definedName name="solver_lhs17" localSheetId="2" hidden="1">Order!$C$6</definedName>
    <definedName name="solver_lhs170" localSheetId="2" hidden="1">Order!$E$6</definedName>
    <definedName name="solver_lhs171" localSheetId="2" hidden="1">Order!$E$6</definedName>
    <definedName name="solver_lhs172" localSheetId="2" hidden="1">Order!$E$6</definedName>
    <definedName name="solver_lhs173" localSheetId="2" hidden="1">Order!$E$6</definedName>
    <definedName name="solver_lhs174" localSheetId="2" hidden="1">Order!$E$6</definedName>
    <definedName name="solver_lhs175" localSheetId="2" hidden="1">Order!$E$6</definedName>
    <definedName name="solver_lhs176" localSheetId="2" hidden="1">Order!$E$6</definedName>
    <definedName name="solver_lhs177" localSheetId="2" hidden="1">Order!$E$6</definedName>
    <definedName name="solver_lhs178" localSheetId="2" hidden="1">Order!$E$6</definedName>
    <definedName name="solver_lhs179" localSheetId="2" hidden="1">Order!$E$6</definedName>
    <definedName name="solver_lhs18" localSheetId="2" hidden="1">Order!$C$6</definedName>
    <definedName name="solver_lhs180" localSheetId="2" hidden="1">Order!$E$6</definedName>
    <definedName name="solver_lhs181" localSheetId="2" hidden="1">Order!$E$6</definedName>
    <definedName name="solver_lhs182" localSheetId="2" hidden="1">Order!$E$6</definedName>
    <definedName name="solver_lhs183" localSheetId="2" hidden="1">Order!$E$6</definedName>
    <definedName name="solver_lhs184" localSheetId="2" hidden="1">Order!$E$6</definedName>
    <definedName name="solver_lhs185" localSheetId="2" hidden="1">Order!$E$6</definedName>
    <definedName name="solver_lhs186" localSheetId="2" hidden="1">Order!$E$6</definedName>
    <definedName name="solver_lhs187" localSheetId="2" hidden="1">Order!$E$6</definedName>
    <definedName name="solver_lhs188" localSheetId="2" hidden="1">Order!$E$6</definedName>
    <definedName name="solver_lhs189" localSheetId="2" hidden="1">Order!$E$6</definedName>
    <definedName name="solver_lhs19" localSheetId="2" hidden="1">Order!$C$6</definedName>
    <definedName name="solver_lhs190" localSheetId="2" hidden="1">Order!$E$6</definedName>
    <definedName name="solver_lhs191" localSheetId="2" hidden="1">Order!$E$6</definedName>
    <definedName name="solver_lhs192" localSheetId="2" hidden="1">Order!$E$6</definedName>
    <definedName name="solver_lhs193" localSheetId="2" hidden="1">Order!$E$6</definedName>
    <definedName name="solver_lhs194" localSheetId="2" hidden="1">Order!$E$6</definedName>
    <definedName name="solver_lhs195" localSheetId="2" hidden="1">Order!$E$6</definedName>
    <definedName name="solver_lhs196" localSheetId="2" hidden="1">Order!$E$6</definedName>
    <definedName name="solver_lhs197" localSheetId="2" hidden="1">Order!$E$6</definedName>
    <definedName name="solver_lhs198" localSheetId="2" hidden="1">Order!$E$6</definedName>
    <definedName name="solver_lhs199" localSheetId="2" hidden="1">Order!$E$6</definedName>
    <definedName name="solver_lhs2" localSheetId="2" hidden="1">Order!$I$6:$I$17</definedName>
    <definedName name="solver_lhs20" localSheetId="2" hidden="1">Order!$C$6</definedName>
    <definedName name="solver_lhs200" localSheetId="2" hidden="1">Order!$E$6</definedName>
    <definedName name="solver_lhs201" localSheetId="2" hidden="1">Order!$E$6</definedName>
    <definedName name="solver_lhs202" localSheetId="2" hidden="1">Order!$E$6</definedName>
    <definedName name="solver_lhs203" localSheetId="2" hidden="1">Order!$E$6</definedName>
    <definedName name="solver_lhs204" localSheetId="2" hidden="1">Order!$E$6</definedName>
    <definedName name="solver_lhs205" localSheetId="2" hidden="1">Order!$E$6</definedName>
    <definedName name="solver_lhs206" localSheetId="2" hidden="1">Order!$E$6</definedName>
    <definedName name="solver_lhs207" localSheetId="2" hidden="1">Order!$E$6</definedName>
    <definedName name="solver_lhs208" localSheetId="2" hidden="1">Order!$E$6</definedName>
    <definedName name="solver_lhs209" localSheetId="2" hidden="1">Order!$E$6</definedName>
    <definedName name="solver_lhs21" localSheetId="2" hidden="1">Order!$C$6</definedName>
    <definedName name="solver_lhs210" localSheetId="2" hidden="1">Order!$E$6</definedName>
    <definedName name="solver_lhs211" localSheetId="2" hidden="1">Order!$E$6</definedName>
    <definedName name="solver_lhs212" localSheetId="2" hidden="1">Order!$E$6</definedName>
    <definedName name="solver_lhs213" localSheetId="2" hidden="1">Order!$E$6</definedName>
    <definedName name="solver_lhs214" localSheetId="2" hidden="1">Order!$E$6</definedName>
    <definedName name="solver_lhs215" localSheetId="2" hidden="1">Order!$E$6</definedName>
    <definedName name="solver_lhs216" localSheetId="2" hidden="1">Order!$E$6</definedName>
    <definedName name="solver_lhs217" localSheetId="2" hidden="1">Order!$E$6</definedName>
    <definedName name="solver_lhs218" localSheetId="2" hidden="1">Order!$E$6</definedName>
    <definedName name="solver_lhs219" localSheetId="2" hidden="1">Order!$E$6</definedName>
    <definedName name="solver_lhs22" localSheetId="2" hidden="1">Order!$C$6</definedName>
    <definedName name="solver_lhs220" localSheetId="2" hidden="1">Order!$E$6</definedName>
    <definedName name="solver_lhs221" localSheetId="2" hidden="1">Order!$E$6</definedName>
    <definedName name="solver_lhs222" localSheetId="2" hidden="1">Order!$E$6</definedName>
    <definedName name="solver_lhs223" localSheetId="2" hidden="1">Order!$E$6</definedName>
    <definedName name="solver_lhs224" localSheetId="2" hidden="1">Order!$E$6</definedName>
    <definedName name="solver_lhs225" localSheetId="2" hidden="1">Order!$E$6</definedName>
    <definedName name="solver_lhs226" localSheetId="2" hidden="1">Order!$E$6</definedName>
    <definedName name="solver_lhs227" localSheetId="2" hidden="1">Order!$E$6</definedName>
    <definedName name="solver_lhs228" localSheetId="2" hidden="1">Order!$E$6</definedName>
    <definedName name="solver_lhs229" localSheetId="2" hidden="1">Order!$E$6</definedName>
    <definedName name="solver_lhs23" localSheetId="2" hidden="1">Order!$C$6</definedName>
    <definedName name="solver_lhs230" localSheetId="2" hidden="1">Order!$E$6</definedName>
    <definedName name="solver_lhs231" localSheetId="2" hidden="1">Order!$E$6</definedName>
    <definedName name="solver_lhs232" localSheetId="2" hidden="1">Order!$E$6</definedName>
    <definedName name="solver_lhs233" localSheetId="2" hidden="1">Order!$E$6</definedName>
    <definedName name="solver_lhs234" localSheetId="2" hidden="1">Order!$E$6</definedName>
    <definedName name="solver_lhs24" localSheetId="2" hidden="1">Order!$C$6</definedName>
    <definedName name="solver_lhs25" localSheetId="2" hidden="1">Order!$C$6</definedName>
    <definedName name="solver_lhs26" localSheetId="2" hidden="1">Order!$C$6</definedName>
    <definedName name="solver_lhs27" localSheetId="2" hidden="1">Order!$C$6</definedName>
    <definedName name="solver_lhs28" localSheetId="2" hidden="1">Order!$C$6</definedName>
    <definedName name="solver_lhs29" localSheetId="2" hidden="1">Order!$C$6</definedName>
    <definedName name="solver_lhs3" localSheetId="2" hidden="1">Order!$C$6</definedName>
    <definedName name="solver_lhs30" localSheetId="2" hidden="1">Order!$D$6</definedName>
    <definedName name="solver_lhs31" localSheetId="2" hidden="1">Order!$C$6</definedName>
    <definedName name="solver_lhs32" localSheetId="2" hidden="1">Order!$D$6</definedName>
    <definedName name="solver_lhs33" localSheetId="2" hidden="1">Order!$D$6</definedName>
    <definedName name="solver_lhs34" localSheetId="2" hidden="1">Order!$C$6</definedName>
    <definedName name="solver_lhs35" localSheetId="2" hidden="1">Order!$D$6</definedName>
    <definedName name="solver_lhs36" localSheetId="2" hidden="1">Order!$C$6</definedName>
    <definedName name="solver_lhs37" localSheetId="2" hidden="1">Order!$D$6</definedName>
    <definedName name="solver_lhs38" localSheetId="2" hidden="1">Order!$C$6</definedName>
    <definedName name="solver_lhs39" localSheetId="2" hidden="1">Order!$D$6</definedName>
    <definedName name="solver_lhs4" localSheetId="2" hidden="1">Order!$D$6</definedName>
    <definedName name="solver_lhs40" localSheetId="2" hidden="1">Order!$D$6</definedName>
    <definedName name="solver_lhs41" localSheetId="2" hidden="1">Order!$C$6</definedName>
    <definedName name="solver_lhs42" localSheetId="2" hidden="1">Order!$D$6</definedName>
    <definedName name="solver_lhs43" localSheetId="2" hidden="1">Order!$C$6</definedName>
    <definedName name="solver_lhs44" localSheetId="2" hidden="1">Order!$D$6</definedName>
    <definedName name="solver_lhs45" localSheetId="2" hidden="1">Order!$D$6</definedName>
    <definedName name="solver_lhs46" localSheetId="2" hidden="1">Order!$D$6</definedName>
    <definedName name="solver_lhs47" localSheetId="2" hidden="1">Order!$C$6</definedName>
    <definedName name="solver_lhs48" localSheetId="2" hidden="1">Order!$D$6</definedName>
    <definedName name="solver_lhs49" localSheetId="2" hidden="1">Order!$D$6</definedName>
    <definedName name="solver_lhs5" localSheetId="2" hidden="1">Order!$E$6</definedName>
    <definedName name="solver_lhs50" localSheetId="2" hidden="1">Order!$C$6</definedName>
    <definedName name="solver_lhs51" localSheetId="2" hidden="1">Order!$D$6</definedName>
    <definedName name="solver_lhs52" localSheetId="2" hidden="1">Order!$D$6</definedName>
    <definedName name="solver_lhs53" localSheetId="2" hidden="1">Order!$D$6</definedName>
    <definedName name="solver_lhs54" localSheetId="2" hidden="1">Order!$D$6</definedName>
    <definedName name="solver_lhs55" localSheetId="2" hidden="1">Order!$D$6</definedName>
    <definedName name="solver_lhs56" localSheetId="2" hidden="1">Order!$D$6</definedName>
    <definedName name="solver_lhs57" localSheetId="2" hidden="1">Order!$D$6</definedName>
    <definedName name="solver_lhs58" localSheetId="2" hidden="1">Order!$C$6</definedName>
    <definedName name="solver_lhs59" localSheetId="2" hidden="1">Order!$D$6</definedName>
    <definedName name="solver_lhs6" localSheetId="2" hidden="1">Order!$I$6:$I$17</definedName>
    <definedName name="solver_lhs60" localSheetId="2" hidden="1">Order!$C$6</definedName>
    <definedName name="solver_lhs61" localSheetId="2" hidden="1">Order!$D$6</definedName>
    <definedName name="solver_lhs62" localSheetId="2" hidden="1">Order!$D$6</definedName>
    <definedName name="solver_lhs63" localSheetId="2" hidden="1">Order!$D$6</definedName>
    <definedName name="solver_lhs64" localSheetId="2" hidden="1">Order!$D$6</definedName>
    <definedName name="solver_lhs65" localSheetId="2" hidden="1">Order!$D$6</definedName>
    <definedName name="solver_lhs66" localSheetId="2" hidden="1">Order!$D$6</definedName>
    <definedName name="solver_lhs67" localSheetId="2" hidden="1">Order!$D$6</definedName>
    <definedName name="solver_lhs68" localSheetId="2" hidden="1">Order!$D$6</definedName>
    <definedName name="solver_lhs69" localSheetId="2" hidden="1">Order!$D$6</definedName>
    <definedName name="solver_lhs7" localSheetId="2" hidden="1">Order!$C$6</definedName>
    <definedName name="solver_lhs70" localSheetId="2" hidden="1">Order!$D$6</definedName>
    <definedName name="solver_lhs71" localSheetId="2" hidden="1">Order!$D$6</definedName>
    <definedName name="solver_lhs72" localSheetId="2" hidden="1">Order!$D$6</definedName>
    <definedName name="solver_lhs73" localSheetId="2" hidden="1">Order!$D$6</definedName>
    <definedName name="solver_lhs74" localSheetId="2" hidden="1">Order!$E$6</definedName>
    <definedName name="solver_lhs75" localSheetId="2" hidden="1">Order!$D$6</definedName>
    <definedName name="solver_lhs76" localSheetId="2" hidden="1">Order!$E$6</definedName>
    <definedName name="solver_lhs77" localSheetId="2" hidden="1">Order!$D$6</definedName>
    <definedName name="solver_lhs78" localSheetId="2" hidden="1">Order!$E$6</definedName>
    <definedName name="solver_lhs79" localSheetId="2" hidden="1">Order!$E$6</definedName>
    <definedName name="solver_lhs8" localSheetId="2" hidden="1">Order!$C$6</definedName>
    <definedName name="solver_lhs80" localSheetId="2" hidden="1">Order!$D$6</definedName>
    <definedName name="solver_lhs81" localSheetId="2" hidden="1">Order!$E$6</definedName>
    <definedName name="solver_lhs82" localSheetId="2" hidden="1">Order!$D$6</definedName>
    <definedName name="solver_lhs83" localSheetId="2" hidden="1">Order!$E$6</definedName>
    <definedName name="solver_lhs84" localSheetId="2" hidden="1">Order!$E$6</definedName>
    <definedName name="solver_lhs85" localSheetId="2" hidden="1">Order!$E$6</definedName>
    <definedName name="solver_lhs86" localSheetId="2" hidden="1">Order!$C$6</definedName>
    <definedName name="solver_lhs87" localSheetId="2" hidden="1">Order!$E$6</definedName>
    <definedName name="solver_lhs88" localSheetId="2" hidden="1">Order!$E$6</definedName>
    <definedName name="solver_lhs89" localSheetId="2" hidden="1">Order!$D$6</definedName>
    <definedName name="solver_lhs9" localSheetId="2" hidden="1">Order!$C$6</definedName>
    <definedName name="solver_lhs90" localSheetId="2" hidden="1">Order!$E$6</definedName>
    <definedName name="solver_lhs91" localSheetId="2" hidden="1">Order!$E$6</definedName>
    <definedName name="solver_lhs92" localSheetId="2" hidden="1">Order!$E$6</definedName>
    <definedName name="solver_lhs93" localSheetId="2" hidden="1">Order!$E$6</definedName>
    <definedName name="solver_lhs94" localSheetId="2" hidden="1">Order!$E$6</definedName>
    <definedName name="solver_lhs95" localSheetId="2" hidden="1">Order!$E$6</definedName>
    <definedName name="solver_lhs96" localSheetId="2" hidden="1">Order!$E$6</definedName>
    <definedName name="solver_lhs97" localSheetId="2" hidden="1">Order!$E$6</definedName>
    <definedName name="solver_lhs98" localSheetId="2" hidden="1">Order!$E$6</definedName>
    <definedName name="solver_lhs99" localSheetId="2" hidden="1">Order!$E$6</definedName>
    <definedName name="solver_lin" localSheetId="2" hidden="1">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Order!$B$21</definedName>
    <definedName name="solver_pre" localSheetId="2" hidden="1">0.000001</definedName>
    <definedName name="solver_rbv" localSheetId="2" hidden="1">1</definedName>
    <definedName name="solver_rel1" localSheetId="2" hidden="1">3</definedName>
    <definedName name="solver_rel10" localSheetId="2" hidden="1">3</definedName>
    <definedName name="solver_rel100" localSheetId="2" hidden="1">3</definedName>
    <definedName name="solver_rel101" localSheetId="2" hidden="1">3</definedName>
    <definedName name="solver_rel102" localSheetId="2" hidden="1">3</definedName>
    <definedName name="solver_rel103" localSheetId="2" hidden="1">3</definedName>
    <definedName name="solver_rel104" localSheetId="2" hidden="1">3</definedName>
    <definedName name="solver_rel105" localSheetId="2" hidden="1">3</definedName>
    <definedName name="solver_rel106" localSheetId="2" hidden="1">3</definedName>
    <definedName name="solver_rel107" localSheetId="2" hidden="1">3</definedName>
    <definedName name="solver_rel108" localSheetId="2" hidden="1">3</definedName>
    <definedName name="solver_rel109" localSheetId="2" hidden="1">3</definedName>
    <definedName name="solver_rel11" localSheetId="2" hidden="1">3</definedName>
    <definedName name="solver_rel110" localSheetId="2" hidden="1">3</definedName>
    <definedName name="solver_rel111" localSheetId="2" hidden="1">3</definedName>
    <definedName name="solver_rel112" localSheetId="2" hidden="1">3</definedName>
    <definedName name="solver_rel113" localSheetId="2" hidden="1">3</definedName>
    <definedName name="solver_rel114" localSheetId="2" hidden="1">3</definedName>
    <definedName name="solver_rel115" localSheetId="2" hidden="1">3</definedName>
    <definedName name="solver_rel116" localSheetId="2" hidden="1">3</definedName>
    <definedName name="solver_rel117" localSheetId="2" hidden="1">3</definedName>
    <definedName name="solver_rel118" localSheetId="2" hidden="1">3</definedName>
    <definedName name="solver_rel119" localSheetId="2" hidden="1">3</definedName>
    <definedName name="solver_rel12" localSheetId="2" hidden="1">3</definedName>
    <definedName name="solver_rel120" localSheetId="2" hidden="1">3</definedName>
    <definedName name="solver_rel121" localSheetId="2" hidden="1">3</definedName>
    <definedName name="solver_rel122" localSheetId="2" hidden="1">3</definedName>
    <definedName name="solver_rel123" localSheetId="2" hidden="1">3</definedName>
    <definedName name="solver_rel124" localSheetId="2" hidden="1">3</definedName>
    <definedName name="solver_rel125" localSheetId="2" hidden="1">3</definedName>
    <definedName name="solver_rel126" localSheetId="2" hidden="1">3</definedName>
    <definedName name="solver_rel127" localSheetId="2" hidden="1">3</definedName>
    <definedName name="solver_rel128" localSheetId="2" hidden="1">3</definedName>
    <definedName name="solver_rel129" localSheetId="2" hidden="1">3</definedName>
    <definedName name="solver_rel13" localSheetId="2" hidden="1">3</definedName>
    <definedName name="solver_rel130" localSheetId="2" hidden="1">3</definedName>
    <definedName name="solver_rel131" localSheetId="2" hidden="1">3</definedName>
    <definedName name="solver_rel132" localSheetId="2" hidden="1">3</definedName>
    <definedName name="solver_rel133" localSheetId="2" hidden="1">3</definedName>
    <definedName name="solver_rel134" localSheetId="2" hidden="1">3</definedName>
    <definedName name="solver_rel135" localSheetId="2" hidden="1">3</definedName>
    <definedName name="solver_rel136" localSheetId="2" hidden="1">3</definedName>
    <definedName name="solver_rel137" localSheetId="2" hidden="1">3</definedName>
    <definedName name="solver_rel138" localSheetId="2" hidden="1">3</definedName>
    <definedName name="solver_rel139" localSheetId="2" hidden="1">3</definedName>
    <definedName name="solver_rel14" localSheetId="2" hidden="1">3</definedName>
    <definedName name="solver_rel140" localSheetId="2" hidden="1">3</definedName>
    <definedName name="solver_rel141" localSheetId="2" hidden="1">3</definedName>
    <definedName name="solver_rel142" localSheetId="2" hidden="1">3</definedName>
    <definedName name="solver_rel143" localSheetId="2" hidden="1">3</definedName>
    <definedName name="solver_rel144" localSheetId="2" hidden="1">3</definedName>
    <definedName name="solver_rel145" localSheetId="2" hidden="1">3</definedName>
    <definedName name="solver_rel146" localSheetId="2" hidden="1">3</definedName>
    <definedName name="solver_rel147" localSheetId="2" hidden="1">3</definedName>
    <definedName name="solver_rel148" localSheetId="2" hidden="1">3</definedName>
    <definedName name="solver_rel149" localSheetId="2" hidden="1">3</definedName>
    <definedName name="solver_rel15" localSheetId="2" hidden="1">3</definedName>
    <definedName name="solver_rel150" localSheetId="2" hidden="1">3</definedName>
    <definedName name="solver_rel151" localSheetId="2" hidden="1">3</definedName>
    <definedName name="solver_rel152" localSheetId="2" hidden="1">3</definedName>
    <definedName name="solver_rel153" localSheetId="2" hidden="1">3</definedName>
    <definedName name="solver_rel154" localSheetId="2" hidden="1">3</definedName>
    <definedName name="solver_rel155" localSheetId="2" hidden="1">3</definedName>
    <definedName name="solver_rel156" localSheetId="2" hidden="1">3</definedName>
    <definedName name="solver_rel157" localSheetId="2" hidden="1">3</definedName>
    <definedName name="solver_rel158" localSheetId="2" hidden="1">3</definedName>
    <definedName name="solver_rel159" localSheetId="2" hidden="1">3</definedName>
    <definedName name="solver_rel16" localSheetId="2" hidden="1">3</definedName>
    <definedName name="solver_rel160" localSheetId="2" hidden="1">3</definedName>
    <definedName name="solver_rel161" localSheetId="2" hidden="1">3</definedName>
    <definedName name="solver_rel162" localSheetId="2" hidden="1">3</definedName>
    <definedName name="solver_rel163" localSheetId="2" hidden="1">3</definedName>
    <definedName name="solver_rel164" localSheetId="2" hidden="1">3</definedName>
    <definedName name="solver_rel165" localSheetId="2" hidden="1">3</definedName>
    <definedName name="solver_rel166" localSheetId="2" hidden="1">3</definedName>
    <definedName name="solver_rel167" localSheetId="2" hidden="1">3</definedName>
    <definedName name="solver_rel168" localSheetId="2" hidden="1">3</definedName>
    <definedName name="solver_rel169" localSheetId="2" hidden="1">3</definedName>
    <definedName name="solver_rel17" localSheetId="2" hidden="1">3</definedName>
    <definedName name="solver_rel170" localSheetId="2" hidden="1">3</definedName>
    <definedName name="solver_rel171" localSheetId="2" hidden="1">3</definedName>
    <definedName name="solver_rel172" localSheetId="2" hidden="1">3</definedName>
    <definedName name="solver_rel173" localSheetId="2" hidden="1">3</definedName>
    <definedName name="solver_rel174" localSheetId="2" hidden="1">3</definedName>
    <definedName name="solver_rel175" localSheetId="2" hidden="1">3</definedName>
    <definedName name="solver_rel176" localSheetId="2" hidden="1">3</definedName>
    <definedName name="solver_rel177" localSheetId="2" hidden="1">3</definedName>
    <definedName name="solver_rel178" localSheetId="2" hidden="1">3</definedName>
    <definedName name="solver_rel179" localSheetId="2" hidden="1">3</definedName>
    <definedName name="solver_rel18" localSheetId="2" hidden="1">3</definedName>
    <definedName name="solver_rel180" localSheetId="2" hidden="1">3</definedName>
    <definedName name="solver_rel181" localSheetId="2" hidden="1">3</definedName>
    <definedName name="solver_rel182" localSheetId="2" hidden="1">3</definedName>
    <definedName name="solver_rel183" localSheetId="2" hidden="1">3</definedName>
    <definedName name="solver_rel184" localSheetId="2" hidden="1">3</definedName>
    <definedName name="solver_rel185" localSheetId="2" hidden="1">3</definedName>
    <definedName name="solver_rel186" localSheetId="2" hidden="1">3</definedName>
    <definedName name="solver_rel187" localSheetId="2" hidden="1">3</definedName>
    <definedName name="solver_rel188" localSheetId="2" hidden="1">3</definedName>
    <definedName name="solver_rel189" localSheetId="2" hidden="1">3</definedName>
    <definedName name="solver_rel19" localSheetId="2" hidden="1">3</definedName>
    <definedName name="solver_rel190" localSheetId="2" hidden="1">3</definedName>
    <definedName name="solver_rel191" localSheetId="2" hidden="1">3</definedName>
    <definedName name="solver_rel192" localSheetId="2" hidden="1">3</definedName>
    <definedName name="solver_rel193" localSheetId="2" hidden="1">3</definedName>
    <definedName name="solver_rel194" localSheetId="2" hidden="1">3</definedName>
    <definedName name="solver_rel195" localSheetId="2" hidden="1">3</definedName>
    <definedName name="solver_rel196" localSheetId="2" hidden="1">3</definedName>
    <definedName name="solver_rel197" localSheetId="2" hidden="1">3</definedName>
    <definedName name="solver_rel198" localSheetId="2" hidden="1">3</definedName>
    <definedName name="solver_rel199" localSheetId="2" hidden="1">3</definedName>
    <definedName name="solver_rel2" localSheetId="2" hidden="1">1</definedName>
    <definedName name="solver_rel20" localSheetId="2" hidden="1">3</definedName>
    <definedName name="solver_rel200" localSheetId="2" hidden="1">3</definedName>
    <definedName name="solver_rel201" localSheetId="2" hidden="1">3</definedName>
    <definedName name="solver_rel202" localSheetId="2" hidden="1">3</definedName>
    <definedName name="solver_rel203" localSheetId="2" hidden="1">3</definedName>
    <definedName name="solver_rel204" localSheetId="2" hidden="1">3</definedName>
    <definedName name="solver_rel205" localSheetId="2" hidden="1">3</definedName>
    <definedName name="solver_rel206" localSheetId="2" hidden="1">3</definedName>
    <definedName name="solver_rel207" localSheetId="2" hidden="1">3</definedName>
    <definedName name="solver_rel208" localSheetId="2" hidden="1">3</definedName>
    <definedName name="solver_rel209" localSheetId="2" hidden="1">3</definedName>
    <definedName name="solver_rel21" localSheetId="2" hidden="1">3</definedName>
    <definedName name="solver_rel210" localSheetId="2" hidden="1">3</definedName>
    <definedName name="solver_rel211" localSheetId="2" hidden="1">3</definedName>
    <definedName name="solver_rel212" localSheetId="2" hidden="1">3</definedName>
    <definedName name="solver_rel213" localSheetId="2" hidden="1">3</definedName>
    <definedName name="solver_rel214" localSheetId="2" hidden="1">3</definedName>
    <definedName name="solver_rel215" localSheetId="2" hidden="1">3</definedName>
    <definedName name="solver_rel216" localSheetId="2" hidden="1">3</definedName>
    <definedName name="solver_rel217" localSheetId="2" hidden="1">3</definedName>
    <definedName name="solver_rel218" localSheetId="2" hidden="1">3</definedName>
    <definedName name="solver_rel219" localSheetId="2" hidden="1">3</definedName>
    <definedName name="solver_rel22" localSheetId="2" hidden="1">3</definedName>
    <definedName name="solver_rel220" localSheetId="2" hidden="1">3</definedName>
    <definedName name="solver_rel221" localSheetId="2" hidden="1">3</definedName>
    <definedName name="solver_rel222" localSheetId="2" hidden="1">3</definedName>
    <definedName name="solver_rel223" localSheetId="2" hidden="1">3</definedName>
    <definedName name="solver_rel224" localSheetId="2" hidden="1">3</definedName>
    <definedName name="solver_rel225" localSheetId="2" hidden="1">3</definedName>
    <definedName name="solver_rel226" localSheetId="2" hidden="1">3</definedName>
    <definedName name="solver_rel227" localSheetId="2" hidden="1">3</definedName>
    <definedName name="solver_rel228" localSheetId="2" hidden="1">3</definedName>
    <definedName name="solver_rel229" localSheetId="2" hidden="1">3</definedName>
    <definedName name="solver_rel23" localSheetId="2" hidden="1">3</definedName>
    <definedName name="solver_rel230" localSheetId="2" hidden="1">3</definedName>
    <definedName name="solver_rel231" localSheetId="2" hidden="1">3</definedName>
    <definedName name="solver_rel232" localSheetId="2" hidden="1">3</definedName>
    <definedName name="solver_rel233" localSheetId="2" hidden="1">3</definedName>
    <definedName name="solver_rel234" localSheetId="2" hidden="1">3</definedName>
    <definedName name="solver_rel24" localSheetId="2" hidden="1">3</definedName>
    <definedName name="solver_rel25" localSheetId="2" hidden="1">3</definedName>
    <definedName name="solver_rel26" localSheetId="2" hidden="1">3</definedName>
    <definedName name="solver_rel27" localSheetId="2" hidden="1">3</definedName>
    <definedName name="solver_rel28" localSheetId="2" hidden="1">3</definedName>
    <definedName name="solver_rel29" localSheetId="2" hidden="1">3</definedName>
    <definedName name="solver_rel3" localSheetId="2" hidden="1">3</definedName>
    <definedName name="solver_rel30" localSheetId="2" hidden="1">3</definedName>
    <definedName name="solver_rel31" localSheetId="2" hidden="1">3</definedName>
    <definedName name="solver_rel32" localSheetId="2" hidden="1">3</definedName>
    <definedName name="solver_rel33" localSheetId="2" hidden="1">3</definedName>
    <definedName name="solver_rel34" localSheetId="2" hidden="1">3</definedName>
    <definedName name="solver_rel35" localSheetId="2" hidden="1">3</definedName>
    <definedName name="solver_rel36" localSheetId="2" hidden="1">3</definedName>
    <definedName name="solver_rel37" localSheetId="2" hidden="1">3</definedName>
    <definedName name="solver_rel38" localSheetId="2" hidden="1">3</definedName>
    <definedName name="solver_rel39" localSheetId="2" hidden="1">3</definedName>
    <definedName name="solver_rel4" localSheetId="2" hidden="1">3</definedName>
    <definedName name="solver_rel40" localSheetId="2" hidden="1">3</definedName>
    <definedName name="solver_rel41" localSheetId="2" hidden="1">3</definedName>
    <definedName name="solver_rel42" localSheetId="2" hidden="1">3</definedName>
    <definedName name="solver_rel43" localSheetId="2" hidden="1">3</definedName>
    <definedName name="solver_rel44" localSheetId="2" hidden="1">3</definedName>
    <definedName name="solver_rel45" localSheetId="2" hidden="1">3</definedName>
    <definedName name="solver_rel46" localSheetId="2" hidden="1">3</definedName>
    <definedName name="solver_rel47" localSheetId="2" hidden="1">3</definedName>
    <definedName name="solver_rel48" localSheetId="2" hidden="1">3</definedName>
    <definedName name="solver_rel49" localSheetId="2" hidden="1">3</definedName>
    <definedName name="solver_rel5" localSheetId="2" hidden="1">3</definedName>
    <definedName name="solver_rel50" localSheetId="2" hidden="1">3</definedName>
    <definedName name="solver_rel51" localSheetId="2" hidden="1">3</definedName>
    <definedName name="solver_rel52" localSheetId="2" hidden="1">3</definedName>
    <definedName name="solver_rel53" localSheetId="2" hidden="1">3</definedName>
    <definedName name="solver_rel54" localSheetId="2" hidden="1">3</definedName>
    <definedName name="solver_rel55" localSheetId="2" hidden="1">3</definedName>
    <definedName name="solver_rel56" localSheetId="2" hidden="1">3</definedName>
    <definedName name="solver_rel57" localSheetId="2" hidden="1">3</definedName>
    <definedName name="solver_rel58" localSheetId="2" hidden="1">3</definedName>
    <definedName name="solver_rel59" localSheetId="2" hidden="1">3</definedName>
    <definedName name="solver_rel6" localSheetId="2" hidden="1">1</definedName>
    <definedName name="solver_rel60" localSheetId="2" hidden="1">3</definedName>
    <definedName name="solver_rel61" localSheetId="2" hidden="1">3</definedName>
    <definedName name="solver_rel62" localSheetId="2" hidden="1">3</definedName>
    <definedName name="solver_rel63" localSheetId="2" hidden="1">3</definedName>
    <definedName name="solver_rel64" localSheetId="2" hidden="1">3</definedName>
    <definedName name="solver_rel65" localSheetId="2" hidden="1">3</definedName>
    <definedName name="solver_rel66" localSheetId="2" hidden="1">3</definedName>
    <definedName name="solver_rel67" localSheetId="2" hidden="1">3</definedName>
    <definedName name="solver_rel68" localSheetId="2" hidden="1">3</definedName>
    <definedName name="solver_rel69" localSheetId="2" hidden="1">3</definedName>
    <definedName name="solver_rel7" localSheetId="2" hidden="1">3</definedName>
    <definedName name="solver_rel70" localSheetId="2" hidden="1">3</definedName>
    <definedName name="solver_rel71" localSheetId="2" hidden="1">3</definedName>
    <definedName name="solver_rel72" localSheetId="2" hidden="1">3</definedName>
    <definedName name="solver_rel73" localSheetId="2" hidden="1">3</definedName>
    <definedName name="solver_rel74" localSheetId="2" hidden="1">3</definedName>
    <definedName name="solver_rel75" localSheetId="2" hidden="1">3</definedName>
    <definedName name="solver_rel76" localSheetId="2" hidden="1">3</definedName>
    <definedName name="solver_rel77" localSheetId="2" hidden="1">3</definedName>
    <definedName name="solver_rel78" localSheetId="2" hidden="1">3</definedName>
    <definedName name="solver_rel79" localSheetId="2" hidden="1">3</definedName>
    <definedName name="solver_rel8" localSheetId="2" hidden="1">3</definedName>
    <definedName name="solver_rel80" localSheetId="2" hidden="1">3</definedName>
    <definedName name="solver_rel81" localSheetId="2" hidden="1">3</definedName>
    <definedName name="solver_rel82" localSheetId="2" hidden="1">3</definedName>
    <definedName name="solver_rel83" localSheetId="2" hidden="1">3</definedName>
    <definedName name="solver_rel84" localSheetId="2" hidden="1">3</definedName>
    <definedName name="solver_rel85" localSheetId="2" hidden="1">3</definedName>
    <definedName name="solver_rel86" localSheetId="2" hidden="1">3</definedName>
    <definedName name="solver_rel87" localSheetId="2" hidden="1">3</definedName>
    <definedName name="solver_rel88" localSheetId="2" hidden="1">3</definedName>
    <definedName name="solver_rel89" localSheetId="2" hidden="1">3</definedName>
    <definedName name="solver_rel9" localSheetId="2" hidden="1">3</definedName>
    <definedName name="solver_rel90" localSheetId="2" hidden="1">3</definedName>
    <definedName name="solver_rel91" localSheetId="2" hidden="1">3</definedName>
    <definedName name="solver_rel92" localSheetId="2" hidden="1">3</definedName>
    <definedName name="solver_rel93" localSheetId="2" hidden="1">3</definedName>
    <definedName name="solver_rel94" localSheetId="2" hidden="1">3</definedName>
    <definedName name="solver_rel95" localSheetId="2" hidden="1">3</definedName>
    <definedName name="solver_rel96" localSheetId="2" hidden="1">3</definedName>
    <definedName name="solver_rel97" localSheetId="2" hidden="1">3</definedName>
    <definedName name="solver_rel98" localSheetId="2" hidden="1">3</definedName>
    <definedName name="solver_rel99" localSheetId="2" hidden="1">3</definedName>
    <definedName name="solver_rhs1" localSheetId="2" hidden="1">Order!$B$30:$E$30</definedName>
    <definedName name="solver_rhs10" localSheetId="2" hidden="1">100</definedName>
    <definedName name="solver_rhs100" localSheetId="2" hidden="1">100</definedName>
    <definedName name="solver_rhs101" localSheetId="2" hidden="1">100</definedName>
    <definedName name="solver_rhs102" localSheetId="2" hidden="1">100</definedName>
    <definedName name="solver_rhs103" localSheetId="2" hidden="1">100</definedName>
    <definedName name="solver_rhs104" localSheetId="2" hidden="1">100</definedName>
    <definedName name="solver_rhs105" localSheetId="2" hidden="1">100</definedName>
    <definedName name="solver_rhs106" localSheetId="2" hidden="1">100</definedName>
    <definedName name="solver_rhs107" localSheetId="2" hidden="1">100</definedName>
    <definedName name="solver_rhs108" localSheetId="2" hidden="1">100</definedName>
    <definedName name="solver_rhs109" localSheetId="2" hidden="1">100</definedName>
    <definedName name="solver_rhs11" localSheetId="2" hidden="1">100</definedName>
    <definedName name="solver_rhs110" localSheetId="2" hidden="1">100</definedName>
    <definedName name="solver_rhs111" localSheetId="2" hidden="1">100</definedName>
    <definedName name="solver_rhs112" localSheetId="2" hidden="1">100</definedName>
    <definedName name="solver_rhs113" localSheetId="2" hidden="1">100</definedName>
    <definedName name="solver_rhs114" localSheetId="2" hidden="1">100</definedName>
    <definedName name="solver_rhs115" localSheetId="2" hidden="1">100</definedName>
    <definedName name="solver_rhs116" localSheetId="2" hidden="1">100</definedName>
    <definedName name="solver_rhs117" localSheetId="2" hidden="1">100</definedName>
    <definedName name="solver_rhs118" localSheetId="2" hidden="1">100</definedName>
    <definedName name="solver_rhs119" localSheetId="2" hidden="1">100</definedName>
    <definedName name="solver_rhs12" localSheetId="2" hidden="1">100</definedName>
    <definedName name="solver_rhs120" localSheetId="2" hidden="1">100</definedName>
    <definedName name="solver_rhs121" localSheetId="2" hidden="1">100</definedName>
    <definedName name="solver_rhs122" localSheetId="2" hidden="1">100</definedName>
    <definedName name="solver_rhs123" localSheetId="2" hidden="1">100</definedName>
    <definedName name="solver_rhs124" localSheetId="2" hidden="1">100</definedName>
    <definedName name="solver_rhs125" localSheetId="2" hidden="1">100</definedName>
    <definedName name="solver_rhs126" localSheetId="2" hidden="1">100</definedName>
    <definedName name="solver_rhs127" localSheetId="2" hidden="1">100</definedName>
    <definedName name="solver_rhs128" localSheetId="2" hidden="1">100</definedName>
    <definedName name="solver_rhs129" localSheetId="2" hidden="1">100</definedName>
    <definedName name="solver_rhs13" localSheetId="2" hidden="1">100</definedName>
    <definedName name="solver_rhs130" localSheetId="2" hidden="1">100</definedName>
    <definedName name="solver_rhs131" localSheetId="2" hidden="1">100</definedName>
    <definedName name="solver_rhs132" localSheetId="2" hidden="1">100</definedName>
    <definedName name="solver_rhs133" localSheetId="2" hidden="1">100</definedName>
    <definedName name="solver_rhs134" localSheetId="2" hidden="1">100</definedName>
    <definedName name="solver_rhs135" localSheetId="2" hidden="1">100</definedName>
    <definedName name="solver_rhs136" localSheetId="2" hidden="1">100</definedName>
    <definedName name="solver_rhs137" localSheetId="2" hidden="1">100</definedName>
    <definedName name="solver_rhs138" localSheetId="2" hidden="1">100</definedName>
    <definedName name="solver_rhs139" localSheetId="2" hidden="1">100</definedName>
    <definedName name="solver_rhs14" localSheetId="2" hidden="1">100</definedName>
    <definedName name="solver_rhs140" localSheetId="2" hidden="1">100</definedName>
    <definedName name="solver_rhs141" localSheetId="2" hidden="1">100</definedName>
    <definedName name="solver_rhs142" localSheetId="2" hidden="1">100</definedName>
    <definedName name="solver_rhs143" localSheetId="2" hidden="1">100</definedName>
    <definedName name="solver_rhs144" localSheetId="2" hidden="1">100</definedName>
    <definedName name="solver_rhs145" localSheetId="2" hidden="1">100</definedName>
    <definedName name="solver_rhs146" localSheetId="2" hidden="1">100</definedName>
    <definedName name="solver_rhs147" localSheetId="2" hidden="1">100</definedName>
    <definedName name="solver_rhs148" localSheetId="2" hidden="1">100</definedName>
    <definedName name="solver_rhs149" localSheetId="2" hidden="1">100</definedName>
    <definedName name="solver_rhs15" localSheetId="2" hidden="1">100</definedName>
    <definedName name="solver_rhs150" localSheetId="2" hidden="1">100</definedName>
    <definedName name="solver_rhs151" localSheetId="2" hidden="1">100</definedName>
    <definedName name="solver_rhs152" localSheetId="2" hidden="1">100</definedName>
    <definedName name="solver_rhs153" localSheetId="2" hidden="1">100</definedName>
    <definedName name="solver_rhs154" localSheetId="2" hidden="1">100</definedName>
    <definedName name="solver_rhs155" localSheetId="2" hidden="1">100</definedName>
    <definedName name="solver_rhs156" localSheetId="2" hidden="1">100</definedName>
    <definedName name="solver_rhs157" localSheetId="2" hidden="1">100</definedName>
    <definedName name="solver_rhs158" localSheetId="2" hidden="1">100</definedName>
    <definedName name="solver_rhs159" localSheetId="2" hidden="1">100</definedName>
    <definedName name="solver_rhs16" localSheetId="2" hidden="1">100</definedName>
    <definedName name="solver_rhs160" localSheetId="2" hidden="1">100</definedName>
    <definedName name="solver_rhs161" localSheetId="2" hidden="1">100</definedName>
    <definedName name="solver_rhs162" localSheetId="2" hidden="1">100</definedName>
    <definedName name="solver_rhs163" localSheetId="2" hidden="1">100</definedName>
    <definedName name="solver_rhs164" localSheetId="2" hidden="1">100</definedName>
    <definedName name="solver_rhs165" localSheetId="2" hidden="1">100</definedName>
    <definedName name="solver_rhs166" localSheetId="2" hidden="1">100</definedName>
    <definedName name="solver_rhs167" localSheetId="2" hidden="1">100</definedName>
    <definedName name="solver_rhs168" localSheetId="2" hidden="1">100</definedName>
    <definedName name="solver_rhs169" localSheetId="2" hidden="1">100</definedName>
    <definedName name="solver_rhs17" localSheetId="2" hidden="1">100</definedName>
    <definedName name="solver_rhs170" localSheetId="2" hidden="1">100</definedName>
    <definedName name="solver_rhs171" localSheetId="2" hidden="1">100</definedName>
    <definedName name="solver_rhs172" localSheetId="2" hidden="1">100</definedName>
    <definedName name="solver_rhs173" localSheetId="2" hidden="1">100</definedName>
    <definedName name="solver_rhs174" localSheetId="2" hidden="1">100</definedName>
    <definedName name="solver_rhs175" localSheetId="2" hidden="1">100</definedName>
    <definedName name="solver_rhs176" localSheetId="2" hidden="1">100</definedName>
    <definedName name="solver_rhs177" localSheetId="2" hidden="1">100</definedName>
    <definedName name="solver_rhs178" localSheetId="2" hidden="1">100</definedName>
    <definedName name="solver_rhs179" localSheetId="2" hidden="1">100</definedName>
    <definedName name="solver_rhs18" localSheetId="2" hidden="1">100</definedName>
    <definedName name="solver_rhs180" localSheetId="2" hidden="1">100</definedName>
    <definedName name="solver_rhs181" localSheetId="2" hidden="1">100</definedName>
    <definedName name="solver_rhs182" localSheetId="2" hidden="1">100</definedName>
    <definedName name="solver_rhs183" localSheetId="2" hidden="1">100</definedName>
    <definedName name="solver_rhs184" localSheetId="2" hidden="1">100</definedName>
    <definedName name="solver_rhs185" localSheetId="2" hidden="1">100</definedName>
    <definedName name="solver_rhs186" localSheetId="2" hidden="1">100</definedName>
    <definedName name="solver_rhs187" localSheetId="2" hidden="1">100</definedName>
    <definedName name="solver_rhs188" localSheetId="2" hidden="1">100</definedName>
    <definedName name="solver_rhs189" localSheetId="2" hidden="1">100</definedName>
    <definedName name="solver_rhs19" localSheetId="2" hidden="1">100</definedName>
    <definedName name="solver_rhs190" localSheetId="2" hidden="1">100</definedName>
    <definedName name="solver_rhs191" localSheetId="2" hidden="1">100</definedName>
    <definedName name="solver_rhs192" localSheetId="2" hidden="1">100</definedName>
    <definedName name="solver_rhs193" localSheetId="2" hidden="1">100</definedName>
    <definedName name="solver_rhs194" localSheetId="2" hidden="1">100</definedName>
    <definedName name="solver_rhs195" localSheetId="2" hidden="1">100</definedName>
    <definedName name="solver_rhs196" localSheetId="2" hidden="1">100</definedName>
    <definedName name="solver_rhs197" localSheetId="2" hidden="1">100</definedName>
    <definedName name="solver_rhs198" localSheetId="2" hidden="1">100</definedName>
    <definedName name="solver_rhs199" localSheetId="2" hidden="1">100</definedName>
    <definedName name="solver_rhs2" localSheetId="2" hidden="1">Order!$H$6:$H$17</definedName>
    <definedName name="solver_rhs20" localSheetId="2" hidden="1">100</definedName>
    <definedName name="solver_rhs200" localSheetId="2" hidden="1">100</definedName>
    <definedName name="solver_rhs201" localSheetId="2" hidden="1">100</definedName>
    <definedName name="solver_rhs202" localSheetId="2" hidden="1">100</definedName>
    <definedName name="solver_rhs203" localSheetId="2" hidden="1">100</definedName>
    <definedName name="solver_rhs204" localSheetId="2" hidden="1">100</definedName>
    <definedName name="solver_rhs205" localSheetId="2" hidden="1">100</definedName>
    <definedName name="solver_rhs206" localSheetId="2" hidden="1">100</definedName>
    <definedName name="solver_rhs207" localSheetId="2" hidden="1">100</definedName>
    <definedName name="solver_rhs208" localSheetId="2" hidden="1">100</definedName>
    <definedName name="solver_rhs209" localSheetId="2" hidden="1">100</definedName>
    <definedName name="solver_rhs21" localSheetId="2" hidden="1">100</definedName>
    <definedName name="solver_rhs210" localSheetId="2" hidden="1">100</definedName>
    <definedName name="solver_rhs211" localSheetId="2" hidden="1">100</definedName>
    <definedName name="solver_rhs212" localSheetId="2" hidden="1">100</definedName>
    <definedName name="solver_rhs213" localSheetId="2" hidden="1">100</definedName>
    <definedName name="solver_rhs214" localSheetId="2" hidden="1">100</definedName>
    <definedName name="solver_rhs215" localSheetId="2" hidden="1">100</definedName>
    <definedName name="solver_rhs216" localSheetId="2" hidden="1">100</definedName>
    <definedName name="solver_rhs217" localSheetId="2" hidden="1">100</definedName>
    <definedName name="solver_rhs218" localSheetId="2" hidden="1">100</definedName>
    <definedName name="solver_rhs219" localSheetId="2" hidden="1">100</definedName>
    <definedName name="solver_rhs22" localSheetId="2" hidden="1">100</definedName>
    <definedName name="solver_rhs220" localSheetId="2" hidden="1">100</definedName>
    <definedName name="solver_rhs221" localSheetId="2" hidden="1">100</definedName>
    <definedName name="solver_rhs222" localSheetId="2" hidden="1">100</definedName>
    <definedName name="solver_rhs223" localSheetId="2" hidden="1">100</definedName>
    <definedName name="solver_rhs224" localSheetId="2" hidden="1">100</definedName>
    <definedName name="solver_rhs225" localSheetId="2" hidden="1">100</definedName>
    <definedName name="solver_rhs226" localSheetId="2" hidden="1">100</definedName>
    <definedName name="solver_rhs227" localSheetId="2" hidden="1">100</definedName>
    <definedName name="solver_rhs228" localSheetId="2" hidden="1">100</definedName>
    <definedName name="solver_rhs229" localSheetId="2" hidden="1">100</definedName>
    <definedName name="solver_rhs23" localSheetId="2" hidden="1">100</definedName>
    <definedName name="solver_rhs230" localSheetId="2" hidden="1">100</definedName>
    <definedName name="solver_rhs231" localSheetId="2" hidden="1">100</definedName>
    <definedName name="solver_rhs232" localSheetId="2" hidden="1">100</definedName>
    <definedName name="solver_rhs233" localSheetId="2" hidden="1">100</definedName>
    <definedName name="solver_rhs234" localSheetId="2" hidden="1">100</definedName>
    <definedName name="solver_rhs24" localSheetId="2" hidden="1">100</definedName>
    <definedName name="solver_rhs25" localSheetId="2" hidden="1">100</definedName>
    <definedName name="solver_rhs26" localSheetId="2" hidden="1">100</definedName>
    <definedName name="solver_rhs27" localSheetId="2" hidden="1">100</definedName>
    <definedName name="solver_rhs28" localSheetId="2" hidden="1">100</definedName>
    <definedName name="solver_rhs29" localSheetId="2" hidden="1">100</definedName>
    <definedName name="solver_rhs3" localSheetId="2" hidden="1">100</definedName>
    <definedName name="solver_rhs30" localSheetId="2" hidden="1">100</definedName>
    <definedName name="solver_rhs31" localSheetId="2" hidden="1">100</definedName>
    <definedName name="solver_rhs32" localSheetId="2" hidden="1">100</definedName>
    <definedName name="solver_rhs33" localSheetId="2" hidden="1">100</definedName>
    <definedName name="solver_rhs34" localSheetId="2" hidden="1">100</definedName>
    <definedName name="solver_rhs35" localSheetId="2" hidden="1">100</definedName>
    <definedName name="solver_rhs36" localSheetId="2" hidden="1">100</definedName>
    <definedName name="solver_rhs37" localSheetId="2" hidden="1">100</definedName>
    <definedName name="solver_rhs38" localSheetId="2" hidden="1">100</definedName>
    <definedName name="solver_rhs39" localSheetId="2" hidden="1">100</definedName>
    <definedName name="solver_rhs4" localSheetId="2" hidden="1">100</definedName>
    <definedName name="solver_rhs40" localSheetId="2" hidden="1">100</definedName>
    <definedName name="solver_rhs41" localSheetId="2" hidden="1">100</definedName>
    <definedName name="solver_rhs42" localSheetId="2" hidden="1">100</definedName>
    <definedName name="solver_rhs43" localSheetId="2" hidden="1">100</definedName>
    <definedName name="solver_rhs44" localSheetId="2" hidden="1">100</definedName>
    <definedName name="solver_rhs45" localSheetId="2" hidden="1">100</definedName>
    <definedName name="solver_rhs46" localSheetId="2" hidden="1">100</definedName>
    <definedName name="solver_rhs47" localSheetId="2" hidden="1">100</definedName>
    <definedName name="solver_rhs48" localSheetId="2" hidden="1">100</definedName>
    <definedName name="solver_rhs49" localSheetId="2" hidden="1">100</definedName>
    <definedName name="solver_rhs5" localSheetId="2" hidden="1">75</definedName>
    <definedName name="solver_rhs50" localSheetId="2" hidden="1">100</definedName>
    <definedName name="solver_rhs51" localSheetId="2" hidden="1">100</definedName>
    <definedName name="solver_rhs52" localSheetId="2" hidden="1">100</definedName>
    <definedName name="solver_rhs53" localSheetId="2" hidden="1">100</definedName>
    <definedName name="solver_rhs54" localSheetId="2" hidden="1">100</definedName>
    <definedName name="solver_rhs55" localSheetId="2" hidden="1">100</definedName>
    <definedName name="solver_rhs56" localSheetId="2" hidden="1">100</definedName>
    <definedName name="solver_rhs57" localSheetId="2" hidden="1">100</definedName>
    <definedName name="solver_rhs58" localSheetId="2" hidden="1">100</definedName>
    <definedName name="solver_rhs59" localSheetId="2" hidden="1">100</definedName>
    <definedName name="solver_rhs6" localSheetId="2" hidden="1">Order!$H$6:$H$17</definedName>
    <definedName name="solver_rhs60" localSheetId="2" hidden="1">100</definedName>
    <definedName name="solver_rhs61" localSheetId="2" hidden="1">100</definedName>
    <definedName name="solver_rhs62" localSheetId="2" hidden="1">100</definedName>
    <definedName name="solver_rhs63" localSheetId="2" hidden="1">100</definedName>
    <definedName name="solver_rhs64" localSheetId="2" hidden="1">100</definedName>
    <definedName name="solver_rhs65" localSheetId="2" hidden="1">100</definedName>
    <definedName name="solver_rhs66" localSheetId="2" hidden="1">100</definedName>
    <definedName name="solver_rhs67" localSheetId="2" hidden="1">100</definedName>
    <definedName name="solver_rhs68" localSheetId="2" hidden="1">100</definedName>
    <definedName name="solver_rhs69" localSheetId="2" hidden="1">100</definedName>
    <definedName name="solver_rhs7" localSheetId="2" hidden="1">100</definedName>
    <definedName name="solver_rhs70" localSheetId="2" hidden="1">100</definedName>
    <definedName name="solver_rhs71" localSheetId="2" hidden="1">100</definedName>
    <definedName name="solver_rhs72" localSheetId="2" hidden="1">100</definedName>
    <definedName name="solver_rhs73" localSheetId="2" hidden="1">100</definedName>
    <definedName name="solver_rhs74" localSheetId="2" hidden="1">100</definedName>
    <definedName name="solver_rhs75" localSheetId="2" hidden="1">100</definedName>
    <definedName name="solver_rhs76" localSheetId="2" hidden="1">100</definedName>
    <definedName name="solver_rhs77" localSheetId="2" hidden="1">100</definedName>
    <definedName name="solver_rhs78" localSheetId="2" hidden="1">100</definedName>
    <definedName name="solver_rhs79" localSheetId="2" hidden="1">100</definedName>
    <definedName name="solver_rhs8" localSheetId="2" hidden="1">100</definedName>
    <definedName name="solver_rhs80" localSheetId="2" hidden="1">100</definedName>
    <definedName name="solver_rhs81" localSheetId="2" hidden="1">100</definedName>
    <definedName name="solver_rhs82" localSheetId="2" hidden="1">100</definedName>
    <definedName name="solver_rhs83" localSheetId="2" hidden="1">100</definedName>
    <definedName name="solver_rhs84" localSheetId="2" hidden="1">100</definedName>
    <definedName name="solver_rhs85" localSheetId="2" hidden="1">100</definedName>
    <definedName name="solver_rhs86" localSheetId="2" hidden="1">100</definedName>
    <definedName name="solver_rhs87" localSheetId="2" hidden="1">100</definedName>
    <definedName name="solver_rhs88" localSheetId="2" hidden="1">100</definedName>
    <definedName name="solver_rhs89" localSheetId="2" hidden="1">100</definedName>
    <definedName name="solver_rhs9" localSheetId="2" hidden="1">100</definedName>
    <definedName name="solver_rhs90" localSheetId="2" hidden="1">100</definedName>
    <definedName name="solver_rhs91" localSheetId="2" hidden="1">100</definedName>
    <definedName name="solver_rhs92" localSheetId="2" hidden="1">100</definedName>
    <definedName name="solver_rhs93" localSheetId="2" hidden="1">100</definedName>
    <definedName name="solver_rhs94" localSheetId="2" hidden="1">100</definedName>
    <definedName name="solver_rhs95" localSheetId="2" hidden="1">100</definedName>
    <definedName name="solver_rhs96" localSheetId="2" hidden="1">100</definedName>
    <definedName name="solver_rhs97" localSheetId="2" hidden="1">100</definedName>
    <definedName name="solver_rhs98" localSheetId="2" hidden="1">100</definedName>
    <definedName name="solver_rhs99" localSheetId="2" hidden="1">100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1</definedName>
    <definedName name="solver_val" localSheetId="2" hidden="1">0</definedName>
    <definedName name="solver_ver" localSheetId="2" hidden="1">3</definedName>
  </definedNames>
  <calcPr calcId="179017"/>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G44" i="7" l="1"/>
  <c r="G43" i="7"/>
  <c r="G42" i="7"/>
  <c r="G41" i="7"/>
  <c r="G40" i="7"/>
  <c r="G39" i="7"/>
  <c r="G38" i="7"/>
  <c r="G37" i="7"/>
  <c r="G36" i="7"/>
  <c r="G35" i="7"/>
  <c r="G34" i="7"/>
  <c r="G33" i="7"/>
  <c r="G32" i="7"/>
  <c r="G31" i="7"/>
  <c r="G30" i="7"/>
  <c r="G29" i="7"/>
  <c r="G28" i="7"/>
  <c r="G27" i="7"/>
  <c r="G26" i="7"/>
  <c r="G25" i="7"/>
  <c r="G24" i="7"/>
  <c r="G23" i="7"/>
  <c r="G22" i="7"/>
  <c r="G21" i="7"/>
  <c r="G20" i="7"/>
  <c r="G19" i="7"/>
  <c r="G18" i="7"/>
  <c r="G17" i="7"/>
  <c r="G16" i="7"/>
  <c r="G15" i="7"/>
  <c r="G14" i="7"/>
  <c r="G13" i="7"/>
  <c r="G12" i="7"/>
  <c r="G11" i="7"/>
  <c r="G10" i="7"/>
  <c r="G9" i="7"/>
  <c r="G8" i="7"/>
  <c r="G7" i="7"/>
  <c r="G6" i="7"/>
  <c r="G5" i="7"/>
  <c r="G4" i="7"/>
  <c r="G3" i="7"/>
  <c r="G2" i="7"/>
  <c r="I17" i="4"/>
  <c r="J17" i="4" s="1"/>
  <c r="I16" i="4"/>
  <c r="J16" i="4" s="1"/>
  <c r="I15" i="4"/>
  <c r="J15" i="4" s="1"/>
  <c r="I14" i="4"/>
  <c r="J14" i="4" s="1"/>
  <c r="I13" i="4"/>
  <c r="J13" i="4" s="1"/>
  <c r="E13" i="4"/>
  <c r="D13" i="4"/>
  <c r="C13" i="4"/>
  <c r="B13" i="4"/>
  <c r="I12" i="4"/>
  <c r="J12" i="4" s="1"/>
  <c r="I11" i="4"/>
  <c r="J11" i="4" s="1"/>
  <c r="I10" i="4"/>
  <c r="J10" i="4" s="1"/>
  <c r="I9" i="4"/>
  <c r="J9" i="4" s="1"/>
  <c r="I8" i="4"/>
  <c r="J8" i="4" s="1"/>
  <c r="I7" i="4"/>
  <c r="J7" i="4" s="1"/>
  <c r="E7" i="4"/>
  <c r="E9" i="4" s="1"/>
  <c r="D7" i="4"/>
  <c r="D9" i="4" s="1"/>
  <c r="C7" i="4"/>
  <c r="C9" i="4" s="1"/>
  <c r="B7" i="4"/>
  <c r="B9" i="4" s="1"/>
  <c r="I6" i="4"/>
  <c r="J6" i="4" s="1"/>
  <c r="B15" i="4" l="1"/>
  <c r="B18" i="4" s="1"/>
  <c r="B10" i="4"/>
  <c r="B19" i="4" s="1"/>
  <c r="B21" i="4" l="1"/>
</calcChain>
</file>

<file path=xl/sharedStrings.xml><?xml version="1.0" encoding="utf-8"?>
<sst xmlns="http://schemas.openxmlformats.org/spreadsheetml/2006/main" count="233" uniqueCount="90">
  <si>
    <t>Total Revenue</t>
  </si>
  <si>
    <t>Net Income</t>
  </si>
  <si>
    <t>Description</t>
  </si>
  <si>
    <t>Standard</t>
  </si>
  <si>
    <t>Control Dial</t>
  </si>
  <si>
    <t>Revenue</t>
  </si>
  <si>
    <t>Variable Expenses</t>
  </si>
  <si>
    <t>Support Stand</t>
  </si>
  <si>
    <t>Cost of Parts</t>
  </si>
  <si>
    <t>Cost of Assembly</t>
  </si>
  <si>
    <t>Cost</t>
  </si>
  <si>
    <t>Income Analysis</t>
  </si>
  <si>
    <t>Dual</t>
  </si>
  <si>
    <t>Extended</t>
  </si>
  <si>
    <t>Summary</t>
  </si>
  <si>
    <t>Date Created:</t>
  </si>
  <si>
    <t>Created By:</t>
  </si>
  <si>
    <t>Purpose:</t>
  </si>
  <si>
    <t>Parts Inventory</t>
  </si>
  <si>
    <t>Available</t>
  </si>
  <si>
    <t>Total Variable Expenses</t>
  </si>
  <si>
    <t>Remaining</t>
  </si>
  <si>
    <t>Chassis (Standard)</t>
  </si>
  <si>
    <t>Chassis (Extended)</t>
  </si>
  <si>
    <t>Rack (Main)</t>
  </si>
  <si>
    <t>Rack (Side)</t>
  </si>
  <si>
    <t>Rack (Top)</t>
  </si>
  <si>
    <t>Burner (Main)</t>
  </si>
  <si>
    <t>Burner (Side)</t>
  </si>
  <si>
    <t>Ordered</t>
  </si>
  <si>
    <t>Models Ordered</t>
  </si>
  <si>
    <t>Models Sold</t>
  </si>
  <si>
    <t>Price per Model</t>
  </si>
  <si>
    <t>Total Model Cost</t>
  </si>
  <si>
    <t>Gas Tubing</t>
  </si>
  <si>
    <t>Deluxe</t>
  </si>
  <si>
    <t>To determine the product mix of four grill models</t>
  </si>
  <si>
    <t>that maximizes GrillRite's profit.</t>
  </si>
  <si>
    <t>Igniter</t>
  </si>
  <si>
    <t>Igniter Button</t>
  </si>
  <si>
    <t>Total Fixed Expenses</t>
  </si>
  <si>
    <t>Product Mix Analysis</t>
  </si>
  <si>
    <t>Parts Required for Each Model</t>
  </si>
  <si>
    <t>ST</t>
  </si>
  <si>
    <t>GRILL ORDERs RECD:</t>
  </si>
  <si>
    <t>OrderDate</t>
  </si>
  <si>
    <t>Region</t>
  </si>
  <si>
    <t>Rep</t>
  </si>
  <si>
    <t>Item</t>
  </si>
  <si>
    <t>Units</t>
  </si>
  <si>
    <t>Unit Cost</t>
  </si>
  <si>
    <t>Total</t>
  </si>
  <si>
    <t>East</t>
  </si>
  <si>
    <t>Jones</t>
  </si>
  <si>
    <t>Pencil</t>
  </si>
  <si>
    <t>Central</t>
  </si>
  <si>
    <t>Kivell</t>
  </si>
  <si>
    <t>Binder</t>
  </si>
  <si>
    <t>Jardine</t>
  </si>
  <si>
    <t>Gill</t>
  </si>
  <si>
    <t>Pen</t>
  </si>
  <si>
    <t>West</t>
  </si>
  <si>
    <t>Sorvino</t>
  </si>
  <si>
    <t>Andrews</t>
  </si>
  <si>
    <t>Thompson</t>
  </si>
  <si>
    <t>Morgan</t>
  </si>
  <si>
    <t>Howard</t>
  </si>
  <si>
    <t>Parent</t>
  </si>
  <si>
    <t>Smith</t>
  </si>
  <si>
    <t>Desk</t>
  </si>
  <si>
    <t>Pen Set</t>
  </si>
  <si>
    <t>To draw a Dashboard using Pivot Tables and Slicers</t>
  </si>
  <si>
    <t>Homework 8</t>
  </si>
  <si>
    <t>The above orders will be entered at run time.</t>
  </si>
  <si>
    <t>Row Labels</t>
  </si>
  <si>
    <t>Grand Total</t>
  </si>
  <si>
    <t>Sum of Total</t>
  </si>
  <si>
    <t>0-100</t>
  </si>
  <si>
    <t>100-200</t>
  </si>
  <si>
    <t>200-300</t>
  </si>
  <si>
    <t>400-500</t>
  </si>
  <si>
    <t>500-600</t>
  </si>
  <si>
    <t>600-700</t>
  </si>
  <si>
    <t>700-800</t>
  </si>
  <si>
    <t>900-1000</t>
  </si>
  <si>
    <t>1000-1100</t>
  </si>
  <si>
    <t>1300-1400</t>
  </si>
  <si>
    <t>1800-1900</t>
  </si>
  <si>
    <t>Count of Total</t>
  </si>
  <si>
    <t xml:space="preserve">Sandeep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</si>
</sst>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quot;$&quot;#,##0.00"/>
    <numFmt numFmtId="165" formatCode="m/d/yy;@"/>
  </numFmts>
  <fonts count="21" x14ac:knownFonts="1">
    <font>
      <sz val="10"/>
      <name val="Arial"/>
    </font>
    <font>
      <sz val="10"/>
      <name val="Arial"/>
      <family val="2"/>
      <charset val="163"/>
    </font>
    <font>
      <sz val="8"/>
      <name val="Arial"/>
      <family val="2"/>
    </font>
    <font>
      <sz val="10"/>
      <color indexed="43"/>
      <name val="Arial"/>
      <family val="2"/>
    </font>
    <font>
      <b/>
      <sz val="10"/>
      <color indexed="43"/>
      <name val="Arial"/>
      <family val="2"/>
    </font>
    <font>
      <b/>
      <sz val="20"/>
      <color indexed="43"/>
      <name val="Arial"/>
      <family val="2"/>
    </font>
    <font>
      <sz val="10"/>
      <color indexed="20"/>
      <name val="Arial"/>
      <family val="2"/>
    </font>
    <font>
      <b/>
      <sz val="10"/>
      <color indexed="20"/>
      <name val="Arial"/>
      <family val="2"/>
    </font>
    <font>
      <sz val="10"/>
      <color indexed="9"/>
      <name val="Arial"/>
      <family val="2"/>
    </font>
    <font>
      <b/>
      <sz val="10"/>
      <color indexed="20"/>
      <name val="Arial"/>
      <family val="2"/>
    </font>
    <font>
      <b/>
      <sz val="14"/>
      <color indexed="20"/>
      <name val="Arial"/>
      <family val="2"/>
    </font>
    <font>
      <sz val="10"/>
      <color indexed="8"/>
      <name val="Arial"/>
      <family val="2"/>
    </font>
    <font>
      <b/>
      <sz val="8"/>
      <color indexed="20"/>
      <name val="Arial"/>
      <family val="2"/>
    </font>
    <font>
      <sz val="8"/>
      <color indexed="9"/>
      <name val="Arial"/>
      <family val="2"/>
    </font>
    <font>
      <sz val="8"/>
      <color indexed="20"/>
      <name val="Arial"/>
      <family val="2"/>
    </font>
    <font>
      <sz val="8"/>
      <color indexed="8"/>
      <name val="Arial"/>
      <family val="2"/>
    </font>
    <font>
      <b/>
      <i/>
      <sz val="10"/>
      <color indexed="20"/>
      <name val="Arial"/>
      <family val="2"/>
    </font>
    <font>
      <b/>
      <sz val="10"/>
      <name val="Arial"/>
      <family val="2"/>
    </font>
    <font>
      <sz val="10"/>
      <name val="Arial"/>
      <family val="2"/>
    </font>
    <font>
      <sz val="11"/>
      <name val="Calibri"/>
      <family val="2"/>
      <scheme val="minor"/>
    </font>
    <font>
      <b/>
      <sz val="10"/>
      <color rgb="FFFF0000"/>
      <name val="Arial"/>
      <family val="2"/>
      <charset val="163"/>
    </font>
  </fonts>
  <fills count="17">
    <fill>
      <patternFill patternType="none"/>
    </fill>
    <fill>
      <patternFill patternType="gray125"/>
    </fill>
    <fill>
      <patternFill patternType="solid">
        <fgColor indexed="20"/>
        <bgColor indexed="64"/>
      </patternFill>
    </fill>
    <fill>
      <patternFill patternType="solid">
        <fgColor indexed="9"/>
        <bgColor indexed="64"/>
      </patternFill>
    </fill>
    <fill>
      <patternFill patternType="solid">
        <fgColor indexed="43"/>
        <bgColor indexed="64"/>
      </patternFill>
    </fill>
    <fill>
      <patternFill patternType="solid">
        <fgColor indexed="48"/>
        <bgColor indexed="64"/>
      </patternFill>
    </fill>
    <fill>
      <patternFill patternType="solid">
        <fgColor indexed="44"/>
        <bgColor indexed="64"/>
      </patternFill>
    </fill>
    <fill>
      <patternFill patternType="solid">
        <fgColor indexed="12"/>
        <bgColor indexed="64"/>
      </patternFill>
    </fill>
    <fill>
      <patternFill patternType="solid">
        <fgColor indexed="18"/>
        <bgColor indexed="64"/>
      </patternFill>
    </fill>
    <fill>
      <patternFill patternType="solid">
        <fgColor indexed="20"/>
        <bgColor indexed="24"/>
      </patternFill>
    </fill>
    <fill>
      <patternFill patternType="solid">
        <fgColor indexed="44"/>
        <bgColor indexed="24"/>
      </patternFill>
    </fill>
    <fill>
      <patternFill patternType="solid">
        <fgColor indexed="48"/>
        <bgColor indexed="24"/>
      </patternFill>
    </fill>
    <fill>
      <patternFill patternType="solid">
        <fgColor indexed="12"/>
        <bgColor indexed="24"/>
      </patternFill>
    </fill>
    <fill>
      <patternFill patternType="solid">
        <fgColor indexed="18"/>
        <bgColor indexed="24"/>
      </patternFill>
    </fill>
    <fill>
      <patternFill patternType="solid">
        <fgColor indexed="45"/>
        <bgColor indexed="64"/>
      </patternFill>
    </fill>
    <fill>
      <patternFill patternType="solid">
        <fgColor indexed="22"/>
        <bgColor indexed="64"/>
      </patternFill>
    </fill>
    <fill>
      <patternFill patternType="solid">
        <fgColor theme="9" tint="0.59999389629810485"/>
        <bgColor indexed="64"/>
      </patternFill>
    </fill>
  </fills>
  <borders count="26">
    <border>
      <left/>
      <right/>
      <top/>
      <bottom/>
      <diagonal/>
    </border>
    <border>
      <left style="medium">
        <color indexed="34"/>
      </left>
      <right style="medium">
        <color indexed="34"/>
      </right>
      <top style="medium">
        <color indexed="34"/>
      </top>
      <bottom style="thin">
        <color indexed="61"/>
      </bottom>
      <diagonal/>
    </border>
    <border>
      <left style="medium">
        <color indexed="34"/>
      </left>
      <right style="medium">
        <color indexed="34"/>
      </right>
      <top style="thin">
        <color indexed="61"/>
      </top>
      <bottom style="medium">
        <color indexed="3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double">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double">
        <color indexed="61"/>
      </bottom>
      <diagonal/>
    </border>
    <border>
      <left/>
      <right/>
      <top/>
      <bottom style="double">
        <color indexed="3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double">
        <color indexed="64"/>
      </bottom>
      <diagonal/>
    </border>
  </borders>
  <cellStyleXfs count="2">
    <xf numFmtId="0" fontId="0" fillId="0" borderId="0"/>
    <xf numFmtId="43" fontId="1" fillId="0" borderId="0" applyFont="0" applyFill="0" applyBorder="0" applyAlignment="0" applyProtection="0"/>
  </cellStyleXfs>
  <cellXfs count="92">
    <xf numFmtId="0" fontId="0" fillId="0" borderId="0" xfId="0"/>
    <xf numFmtId="0" fontId="0" fillId="0" borderId="0" xfId="0" applyNumberFormat="1"/>
    <xf numFmtId="0" fontId="3" fillId="2" borderId="0" xfId="0" applyFont="1" applyFill="1"/>
    <xf numFmtId="0" fontId="4" fillId="2" borderId="0" xfId="0" applyFont="1" applyFill="1"/>
    <xf numFmtId="0" fontId="6" fillId="3" borderId="2" xfId="0" applyFont="1" applyFill="1" applyBorder="1"/>
    <xf numFmtId="0" fontId="8" fillId="2" borderId="3" xfId="0" applyNumberFormat="1" applyFont="1" applyFill="1" applyBorder="1"/>
    <xf numFmtId="0" fontId="7" fillId="0" borderId="3" xfId="0" applyNumberFormat="1" applyFont="1" applyFill="1" applyBorder="1"/>
    <xf numFmtId="0" fontId="7" fillId="0" borderId="4" xfId="0" applyNumberFormat="1" applyFont="1" applyFill="1" applyBorder="1"/>
    <xf numFmtId="0" fontId="7" fillId="0" borderId="5" xfId="0" applyNumberFormat="1" applyFont="1" applyFill="1" applyBorder="1"/>
    <xf numFmtId="0" fontId="6" fillId="4" borderId="3" xfId="0" applyNumberFormat="1" applyFont="1" applyFill="1" applyBorder="1"/>
    <xf numFmtId="0" fontId="6" fillId="4" borderId="6" xfId="0" applyNumberFormat="1" applyFont="1" applyFill="1" applyBorder="1"/>
    <xf numFmtId="0" fontId="6" fillId="4" borderId="7" xfId="0" applyNumberFormat="1" applyFont="1" applyFill="1" applyBorder="1"/>
    <xf numFmtId="0" fontId="6" fillId="4" borderId="8" xfId="0" applyNumberFormat="1" applyFont="1" applyFill="1" applyBorder="1"/>
    <xf numFmtId="0" fontId="10" fillId="0" borderId="0" xfId="0" applyNumberFormat="1" applyFont="1"/>
    <xf numFmtId="0" fontId="7" fillId="0" borderId="0" xfId="0" applyNumberFormat="1" applyFont="1"/>
    <xf numFmtId="0" fontId="6" fillId="4" borderId="9" xfId="0" applyNumberFormat="1" applyFont="1" applyFill="1" applyBorder="1" applyAlignment="1">
      <alignment horizontal="left"/>
    </xf>
    <xf numFmtId="0" fontId="6" fillId="4" borderId="3" xfId="0" applyNumberFormat="1" applyFont="1" applyFill="1" applyBorder="1" applyAlignment="1">
      <alignment horizontal="left"/>
    </xf>
    <xf numFmtId="0" fontId="8" fillId="5" borderId="3" xfId="0" applyNumberFormat="1" applyFont="1" applyFill="1" applyBorder="1" applyAlignment="1">
      <alignment horizontal="center"/>
    </xf>
    <xf numFmtId="0" fontId="11" fillId="6" borderId="3" xfId="0" applyNumberFormat="1" applyFont="1" applyFill="1" applyBorder="1" applyAlignment="1">
      <alignment horizontal="center"/>
    </xf>
    <xf numFmtId="0" fontId="8" fillId="7" borderId="3" xfId="0" applyNumberFormat="1" applyFont="1" applyFill="1" applyBorder="1" applyAlignment="1">
      <alignment horizontal="center"/>
    </xf>
    <xf numFmtId="0" fontId="8" fillId="8" borderId="3" xfId="0" applyNumberFormat="1" applyFont="1" applyFill="1" applyBorder="1" applyAlignment="1">
      <alignment horizontal="center"/>
    </xf>
    <xf numFmtId="0" fontId="2" fillId="0" borderId="0" xfId="0" applyNumberFormat="1" applyFont="1"/>
    <xf numFmtId="0" fontId="12" fillId="0" borderId="0" xfId="0" applyNumberFormat="1" applyFont="1"/>
    <xf numFmtId="0" fontId="13" fillId="9" borderId="10" xfId="0" applyNumberFormat="1" applyFont="1" applyFill="1" applyBorder="1" applyAlignment="1">
      <alignment horizontal="center"/>
    </xf>
    <xf numFmtId="0" fontId="13" fillId="9" borderId="11" xfId="0" applyNumberFormat="1" applyFont="1" applyFill="1" applyBorder="1" applyAlignment="1">
      <alignment horizontal="center"/>
    </xf>
    <xf numFmtId="0" fontId="13" fillId="9" borderId="12" xfId="0" applyNumberFormat="1" applyFont="1" applyFill="1" applyBorder="1" applyAlignment="1">
      <alignment horizontal="center"/>
    </xf>
    <xf numFmtId="0" fontId="13" fillId="9" borderId="13" xfId="0" applyNumberFormat="1" applyFont="1" applyFill="1" applyBorder="1" applyAlignment="1">
      <alignment horizontal="center"/>
    </xf>
    <xf numFmtId="0" fontId="14" fillId="4" borderId="14" xfId="0" applyNumberFormat="1" applyFont="1" applyFill="1" applyBorder="1" applyAlignment="1"/>
    <xf numFmtId="0" fontId="2" fillId="3" borderId="15" xfId="0" applyNumberFormat="1" applyFont="1" applyFill="1" applyBorder="1" applyAlignment="1"/>
    <xf numFmtId="164" fontId="2" fillId="3" borderId="16" xfId="0" applyNumberFormat="1" applyFont="1" applyFill="1" applyBorder="1" applyAlignment="1"/>
    <xf numFmtId="0" fontId="14" fillId="4" borderId="17" xfId="0" applyNumberFormat="1" applyFont="1" applyFill="1" applyBorder="1" applyAlignment="1"/>
    <xf numFmtId="0" fontId="2" fillId="3" borderId="18" xfId="0" applyNumberFormat="1" applyFont="1" applyFill="1" applyBorder="1" applyAlignment="1"/>
    <xf numFmtId="164" fontId="2" fillId="3" borderId="19" xfId="0" applyNumberFormat="1" applyFont="1" applyFill="1" applyBorder="1" applyAlignment="1"/>
    <xf numFmtId="0" fontId="15" fillId="10" borderId="11" xfId="0" applyNumberFormat="1" applyFont="1" applyFill="1" applyBorder="1" applyAlignment="1">
      <alignment horizontal="center"/>
    </xf>
    <xf numFmtId="0" fontId="13" fillId="11" borderId="12" xfId="0" applyNumberFormat="1" applyFont="1" applyFill="1" applyBorder="1" applyAlignment="1">
      <alignment horizontal="center"/>
    </xf>
    <xf numFmtId="0" fontId="13" fillId="12" borderId="12" xfId="0" applyNumberFormat="1" applyFont="1" applyFill="1" applyBorder="1" applyAlignment="1">
      <alignment horizontal="center"/>
    </xf>
    <xf numFmtId="0" fontId="13" fillId="13" borderId="13"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3" xfId="0" applyNumberFormat="1" applyFont="1" applyFill="1" applyBorder="1" applyAlignment="1">
      <alignment horizontal="center"/>
    </xf>
    <xf numFmtId="0" fontId="2" fillId="0" borderId="16" xfId="0" applyNumberFormat="1" applyFont="1" applyFill="1" applyBorder="1" applyAlignment="1">
      <alignment horizontal="center"/>
    </xf>
    <xf numFmtId="0" fontId="2" fillId="0" borderId="18" xfId="0" applyNumberFormat="1" applyFont="1" applyFill="1" applyBorder="1" applyAlignment="1">
      <alignment horizontal="center"/>
    </xf>
    <xf numFmtId="0" fontId="2" fillId="0" borderId="20" xfId="0" applyNumberFormat="1" applyFont="1" applyFill="1" applyBorder="1" applyAlignment="1">
      <alignment horizontal="center"/>
    </xf>
    <xf numFmtId="0" fontId="2" fillId="0" borderId="19" xfId="0" applyNumberFormat="1" applyFont="1" applyFill="1" applyBorder="1" applyAlignment="1">
      <alignment horizontal="center"/>
    </xf>
    <xf numFmtId="0" fontId="0" fillId="0" borderId="21" xfId="0" applyNumberFormat="1" applyBorder="1"/>
    <xf numFmtId="0" fontId="2" fillId="0" borderId="21" xfId="0" applyNumberFormat="1" applyFont="1" applyBorder="1"/>
    <xf numFmtId="0" fontId="16" fillId="0" borderId="21" xfId="0" applyNumberFormat="1" applyFont="1" applyBorder="1"/>
    <xf numFmtId="0" fontId="0" fillId="14" borderId="0" xfId="0" applyFill="1"/>
    <xf numFmtId="1" fontId="2" fillId="3" borderId="3" xfId="0" applyNumberFormat="1" applyFont="1" applyFill="1" applyBorder="1" applyAlignment="1"/>
    <xf numFmtId="1" fontId="2" fillId="3" borderId="20" xfId="0" applyNumberFormat="1" applyFont="1" applyFill="1" applyBorder="1" applyAlignment="1"/>
    <xf numFmtId="164" fontId="0" fillId="3" borderId="3" xfId="0" applyNumberFormat="1" applyFill="1" applyBorder="1"/>
    <xf numFmtId="164" fontId="0" fillId="3" borderId="9" xfId="0" applyNumberFormat="1" applyFill="1" applyBorder="1"/>
    <xf numFmtId="0" fontId="0" fillId="3" borderId="0" xfId="0" applyNumberFormat="1" applyFill="1" applyBorder="1"/>
    <xf numFmtId="0" fontId="17" fillId="3" borderId="0" xfId="0" applyNumberFormat="1" applyFont="1" applyFill="1"/>
    <xf numFmtId="0" fontId="0" fillId="3" borderId="0" xfId="0" applyNumberFormat="1" applyFill="1"/>
    <xf numFmtId="0" fontId="17" fillId="6" borderId="0" xfId="0" applyNumberFormat="1" applyFont="1" applyFill="1"/>
    <xf numFmtId="0" fontId="0" fillId="15" borderId="3" xfId="0" applyNumberFormat="1" applyFill="1" applyBorder="1"/>
    <xf numFmtId="0" fontId="0" fillId="16" borderId="3" xfId="0" applyNumberFormat="1" applyFill="1" applyBorder="1"/>
    <xf numFmtId="0" fontId="2" fillId="16" borderId="3" xfId="0" applyNumberFormat="1" applyFont="1" applyFill="1" applyBorder="1" applyAlignment="1"/>
    <xf numFmtId="0" fontId="0" fillId="0" borderId="0" xfId="0" applyFont="1" applyFill="1" applyBorder="1" applyAlignment="1" applyProtection="1">
      <alignment horizontal="center" vertical="center"/>
    </xf>
    <xf numFmtId="1" fontId="0" fillId="0" borderId="0" xfId="0"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Font="1" applyFill="1" applyBorder="1" applyAlignment="1" applyProtection="1">
      <alignment horizontal="left" vertical="center"/>
      <protection locked="0"/>
    </xf>
    <xf numFmtId="0" fontId="19" fillId="0" borderId="0" xfId="0" applyFont="1" applyAlignment="1">
      <alignment vertical="center"/>
    </xf>
    <xf numFmtId="165" fontId="0" fillId="0" borderId="0" xfId="0" applyNumberFormat="1" applyFont="1" applyFill="1" applyBorder="1" applyAlignment="1" applyProtection="1">
      <alignment vertical="center"/>
    </xf>
    <xf numFmtId="0" fontId="0" fillId="0" borderId="0" xfId="0" applyFont="1" applyFill="1" applyBorder="1" applyAlignment="1" applyProtection="1">
      <alignment vertical="center"/>
    </xf>
    <xf numFmtId="0" fontId="0" fillId="0" borderId="0" xfId="0" applyFont="1" applyFill="1" applyBorder="1" applyAlignment="1" applyProtection="1">
      <alignment vertical="center"/>
      <protection locked="0"/>
    </xf>
    <xf numFmtId="43" fontId="0" fillId="0" borderId="0" xfId="1" applyFont="1" applyFill="1" applyBorder="1" applyAlignment="1" applyProtection="1">
      <alignment horizontal="left" vertical="center"/>
    </xf>
    <xf numFmtId="43" fontId="0" fillId="0" borderId="0" xfId="1" applyFont="1" applyFill="1" applyBorder="1" applyAlignment="1" applyProtection="1">
      <alignment vertical="center"/>
    </xf>
    <xf numFmtId="0" fontId="19" fillId="0" borderId="0" xfId="0" applyFont="1" applyBorder="1" applyAlignment="1" applyProtection="1">
      <alignment vertical="center"/>
    </xf>
    <xf numFmtId="0" fontId="19" fillId="0" borderId="0" xfId="0" applyFont="1" applyFill="1" applyBorder="1" applyAlignment="1" applyProtection="1">
      <alignment vertical="center"/>
      <protection locked="0"/>
    </xf>
    <xf numFmtId="0" fontId="19" fillId="0" borderId="0" xfId="0" applyFont="1" applyFill="1" applyBorder="1" applyAlignment="1" applyProtection="1">
      <alignment vertical="center"/>
    </xf>
    <xf numFmtId="0" fontId="18" fillId="0" borderId="0" xfId="0" applyNumberFormat="1" applyFont="1"/>
    <xf numFmtId="0" fontId="2" fillId="16" borderId="20" xfId="0" applyNumberFormat="1" applyFont="1" applyFill="1" applyBorder="1" applyAlignment="1"/>
    <xf numFmtId="14" fontId="6" fillId="3" borderId="1" xfId="0" applyNumberFormat="1" applyFont="1" applyFill="1" applyBorder="1"/>
    <xf numFmtId="0" fontId="0" fillId="0" borderId="0" xfId="0" pivotButton="1"/>
    <xf numFmtId="0" fontId="0" fillId="0" borderId="0" xfId="0" applyAlignment="1">
      <alignment horizontal="left"/>
    </xf>
    <xf numFmtId="3" fontId="0" fillId="0" borderId="0" xfId="0" applyNumberFormat="1"/>
    <xf numFmtId="0" fontId="20" fillId="0" borderId="0" xfId="0" applyFont="1"/>
    <xf numFmtId="43" fontId="0" fillId="0" borderId="0" xfId="0" applyNumberFormat="1" applyAlignment="1">
      <alignment horizontal="left"/>
    </xf>
    <xf numFmtId="0" fontId="5" fillId="2" borderId="22" xfId="0" applyFont="1" applyFill="1" applyBorder="1" applyAlignment="1"/>
    <xf numFmtId="0" fontId="0" fillId="0" borderId="22" xfId="0" applyBorder="1" applyAlignment="1"/>
    <xf numFmtId="164" fontId="7" fillId="3" borderId="4" xfId="0" applyNumberFormat="1" applyFont="1" applyFill="1" applyBorder="1" applyAlignment="1"/>
    <xf numFmtId="164" fontId="9" fillId="16" borderId="23" xfId="0" applyNumberFormat="1" applyFont="1" applyFill="1" applyBorder="1" applyAlignment="1"/>
    <xf numFmtId="0" fontId="9" fillId="16" borderId="24" xfId="0" applyFont="1" applyFill="1" applyBorder="1" applyAlignment="1"/>
    <xf numFmtId="164" fontId="7" fillId="3" borderId="3" xfId="0" applyNumberFormat="1" applyFont="1" applyFill="1" applyBorder="1" applyAlignment="1"/>
    <xf numFmtId="0" fontId="0" fillId="3" borderId="3" xfId="0" applyFill="1" applyBorder="1" applyAlignment="1"/>
    <xf numFmtId="164" fontId="6" fillId="3" borderId="12" xfId="0" applyNumberFormat="1" applyFont="1" applyFill="1" applyBorder="1" applyAlignment="1"/>
    <xf numFmtId="0" fontId="6" fillId="3" borderId="13" xfId="0" applyFont="1" applyFill="1" applyBorder="1" applyAlignment="1"/>
    <xf numFmtId="164" fontId="6" fillId="3" borderId="3" xfId="0" applyNumberFormat="1" applyFont="1" applyFill="1" applyBorder="1" applyAlignment="1"/>
    <xf numFmtId="0" fontId="6" fillId="3" borderId="16" xfId="0" applyFont="1" applyFill="1" applyBorder="1" applyAlignment="1"/>
    <xf numFmtId="164" fontId="6" fillId="3" borderId="9" xfId="0" applyNumberFormat="1" applyFont="1" applyFill="1" applyBorder="1" applyAlignment="1"/>
    <xf numFmtId="0" fontId="6" fillId="3" borderId="25" xfId="0" applyFont="1" applyFill="1" applyBorder="1" applyAlignment="1"/>
  </cellXfs>
  <cellStyles count="2">
    <cellStyle name="Comma" xfId="1" builtinId="3"/>
    <cellStyle name="Normal" xfId="0" builtinId="0"/>
  </cellStyles>
  <dxfs count="3">
    <dxf>
      <font>
        <condense val="0"/>
        <extend val="0"/>
        <color indexed="1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[SolverGrill.xlsm]PivotTable1!PivotTable1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 sales representative's name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PivotTable1!$B$3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PivotTable1!$A$4:$A$9</c:f>
              <c:strCache>
                <c:ptCount val="5"/>
                <c:pt idx="0">
                  <c:v>Kivell</c:v>
                </c:pt>
                <c:pt idx="1">
                  <c:v>Jardine</c:v>
                </c:pt>
                <c:pt idx="2">
                  <c:v>Gill</c:v>
                </c:pt>
                <c:pt idx="3">
                  <c:v>Smith</c:v>
                </c:pt>
                <c:pt idx="4">
                  <c:v>Morgan</c:v>
                </c:pt>
              </c:strCache>
            </c:strRef>
          </c:cat>
          <c:val>
            <c:numRef>
              <c:f>PivotTable1!$B$4:$B$9</c:f>
              <c:numCache>
                <c:formatCode>General</c:formatCode>
                <c:ptCount val="5"/>
                <c:pt idx="0">
                  <c:v>3109.4399999999996</c:v>
                </c:pt>
                <c:pt idx="1">
                  <c:v>2812.1899999999996</c:v>
                </c:pt>
                <c:pt idx="2">
                  <c:v>1749.87</c:v>
                </c:pt>
                <c:pt idx="3">
                  <c:v>1641.43</c:v>
                </c:pt>
                <c:pt idx="4">
                  <c:v>1387.7700000000002</c:v>
                </c:pt>
              </c:numCache>
            </c:numRef>
          </c:val>
          <c:extLst>
            <c:ext xmlns:c16="http://schemas.microsoft.com/office/drawing/2014/chart" uri="{C3380CC4-5D6E-409C-BE32-E72D297353CC}">
              <c16:uniqueId val="{00000000-DA1B-489D-92FF-2888F95BB9A0}"/>
            </c:ext>
          </c:extLst>
        </c:ser>
        <c:dLbls>
          <c:showLegendKey val="0"/>
          <c:showVal val="0"/>
          <c:showCatName val="0"/>
          <c:showSerName val="0"/>
          <c:showPercent val="0"/>
          <c:showBubbleSize val="0"/>
        </c:dLbls>
        <c:gapWidth val="115"/>
        <c:overlap val="-20"/>
        <c:axId val="844372912"/>
        <c:axId val="844376656"/>
      </c:barChart>
      <c:catAx>
        <c:axId val="84437291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4376656"/>
        <c:crosses val="autoZero"/>
        <c:auto val="1"/>
        <c:lblAlgn val="ctr"/>
        <c:lblOffset val="100"/>
        <c:noMultiLvlLbl val="0"/>
      </c:catAx>
      <c:valAx>
        <c:axId val="844376656"/>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844372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0">
      <a:solidFill>
        <a:schemeClr val="tx1">
          <a:lumMod val="50000"/>
          <a:lumOff val="5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[SolverGrill.xlsm]PivotTable2!PivotTable2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 of Sales per Group</a:t>
            </a:r>
            <a:endParaRPr lang="vi-V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PivotTable2!$B$3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PivotTable2!$A$4:$A$15</c:f>
              <c:strCache>
                <c:ptCount val="11"/>
                <c:pt idx="0">
                  <c:v>0-100</c:v>
                </c:pt>
                <c:pt idx="1">
                  <c:v>100-200</c:v>
                </c:pt>
                <c:pt idx="2">
                  <c:v>200-300</c:v>
                </c:pt>
                <c:pt idx="3">
                  <c:v>400-500</c:v>
                </c:pt>
                <c:pt idx="4">
                  <c:v>500-600</c:v>
                </c:pt>
                <c:pt idx="5">
                  <c:v>600-700</c:v>
                </c:pt>
                <c:pt idx="6">
                  <c:v>700-800</c:v>
                </c:pt>
                <c:pt idx="7">
                  <c:v>900-1000</c:v>
                </c:pt>
                <c:pt idx="8">
                  <c:v>1000-1100</c:v>
                </c:pt>
                <c:pt idx="9">
                  <c:v>1300-1400</c:v>
                </c:pt>
                <c:pt idx="10">
                  <c:v>1800-1900</c:v>
                </c:pt>
              </c:strCache>
            </c:strRef>
          </c:cat>
          <c:val>
            <c:numRef>
              <c:f>PivotTable2!$B$4:$B$15</c:f>
              <c:numCache>
                <c:formatCode>General</c:formatCode>
                <c:ptCount val="11"/>
                <c:pt idx="0">
                  <c:v>5</c:v>
                </c:pt>
                <c:pt idx="1">
                  <c:v>4</c:v>
                </c:pt>
                <c:pt idx="2">
                  <c:v>3</c:v>
                </c:pt>
                <c:pt idx="3">
                  <c:v>4</c:v>
                </c:pt>
                <c:pt idx="4">
                  <c:v>1</c:v>
                </c:pt>
                <c:pt idx="5">
                  <c:v>2</c:v>
                </c:pt>
                <c:pt idx="6">
                  <c:v>1</c:v>
                </c:pt>
                <c:pt idx="7">
                  <c:v>1</c:v>
                </c:pt>
                <c:pt idx="8">
                  <c:v>1</c:v>
                </c:pt>
                <c:pt idx="9">
                  <c:v>1</c:v>
                </c:pt>
                <c:pt idx="10">
                  <c:v>1</c:v>
                </c:pt>
              </c:numCache>
            </c:numRef>
          </c:val>
          <c:extLst>
            <c:ext xmlns:c16="http://schemas.microsoft.com/office/drawing/2014/chart" uri="{C3380CC4-5D6E-409C-BE32-E72D297353CC}">
              <c16:uniqueId val="{00000002-353B-434A-AC91-B29FAAAAEFA6}"/>
            </c:ext>
          </c:extLst>
        </c:ser>
        <c:dLbls>
          <c:showLegendKey val="0"/>
          <c:showVal val="0"/>
          <c:showCatName val="0"/>
          <c:showSerName val="0"/>
          <c:showPercent val="0"/>
          <c:showBubbleSize val="0"/>
        </c:dLbls>
        <c:gapWidth val="115"/>
        <c:axId val="844372912"/>
        <c:axId val="844376656"/>
      </c:barChart>
      <c:catAx>
        <c:axId val="8443729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4376656"/>
        <c:crosses val="autoZero"/>
        <c:auto val="1"/>
        <c:lblAlgn val="ctr"/>
        <c:lblOffset val="100"/>
        <c:noMultiLvlLbl val="0"/>
      </c:catAx>
      <c:valAx>
        <c:axId val="844376656"/>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844372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0">
      <a:solidFill>
        <a:schemeClr val="tx1">
          <a:lumMod val="50000"/>
          <a:lumOff val="5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[SolverGrill.xlsm]PivotTable3!PivotTable3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per Region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PivotTable3!$B$3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PivotTable3!$A$4</c:f>
              <c:strCache>
                <c:ptCount val="1"/>
                <c:pt idx="0">
                  <c:v>Grand Total</c:v>
                </c:pt>
              </c:strCache>
            </c:strRef>
          </c:cat>
          <c:val>
            <c:numRef>
              <c:f>PivotTable3!$B$4</c:f>
              <c:numCache>
                <c:formatCode>General</c:formatCode>
                <c:ptCount val="1"/>
              </c:numCache>
            </c:numRef>
          </c:val>
          <c:extLst>
            <c:ext xmlns:c16="http://schemas.microsoft.com/office/drawing/2014/chart" uri="{C3380CC4-5D6E-409C-BE32-E72D297353CC}">
              <c16:uniqueId val="{00000000-2EAE-456D-A920-554C5FB6A816}"/>
            </c:ext>
          </c:extLst>
        </c:ser>
        <c:dLbls>
          <c:showLegendKey val="0"/>
          <c:showVal val="0"/>
          <c:showCatName val="0"/>
          <c:showSerName val="0"/>
          <c:showPercent val="0"/>
          <c:showBubbleSize val="0"/>
        </c:dLbls>
        <c:gapWidth val="100"/>
        <c:overlap val="-24"/>
        <c:axId val="1046677776"/>
        <c:axId val="1046679024"/>
      </c:barChart>
      <c:catAx>
        <c:axId val="10466777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46679024"/>
        <c:crosses val="autoZero"/>
        <c:auto val="1"/>
        <c:lblAlgn val="ctr"/>
        <c:lblOffset val="100"/>
        <c:noMultiLvlLbl val="0"/>
      </c:catAx>
      <c:valAx>
        <c:axId val="1046679024"/>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Sale Total</a:t>
                </a:r>
                <a:endParaRPr lang="vi-VN"/>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46677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w="63500">
      <a:solidFill>
        <a:schemeClr val="tx1">
          <a:lumMod val="50000"/>
          <a:lumOff val="5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571500</xdr:colOff>
      <xdr:row>5</xdr:row>
      <xdr:rowOff>114300</xdr:rowOff>
    </xdr:from>
    <xdr:to>
      <xdr:col>10</xdr:col>
      <xdr:colOff>47625</xdr:colOff>
      <xdr:row>11</xdr:row>
      <xdr:rowOff>47625</xdr:rowOff>
    </xdr:to>
    <xdr:sp macro="" textlink="">
      <xdr:nvSpPr>
        <xdr:cNvPr id="1027" name="AutoShape 3">
          <a:extLst>
            <a:ext uri="{FF2B5EF4-FFF2-40B4-BE49-F238E27FC236}">
              <a16:creationId xmlns:a16="http://schemas.microsoft.com/office/drawing/2014/main" id="{00000000-0008-0000-0100-000003040000}"/>
            </a:ext>
          </a:extLst>
        </xdr:cNvPr>
        <xdr:cNvSpPr>
          <a:spLocks noChangeArrowheads="1"/>
        </xdr:cNvSpPr>
      </xdr:nvSpPr>
      <xdr:spPr bwMode="auto">
        <a:xfrm>
          <a:off x="3619500" y="923925"/>
          <a:ext cx="2524125" cy="904875"/>
        </a:xfrm>
        <a:prstGeom prst="roundRect">
          <a:avLst>
            <a:gd name="adj" fmla="val 16667"/>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 2016  </a:t>
          </a:r>
          <a:r>
            <a:rPr lang="en-US" sz="1100" b="1" i="0" u="none" strike="noStrike" baseline="0">
              <a:solidFill>
                <a:srgbClr val="800080"/>
              </a:solidFill>
              <a:latin typeface="Arial"/>
              <a:cs typeface="Arial"/>
            </a:rPr>
            <a:t>CSIS Consultants</a:t>
          </a:r>
          <a:endParaRPr lang="en-US" sz="1000" b="0" i="0" u="none" strike="noStrike" baseline="0">
            <a:solidFill>
              <a:srgbClr val="000000"/>
            </a:solidFill>
            <a:latin typeface="Arial"/>
            <a:cs typeface="Arial"/>
          </a:endParaRPr>
        </a:p>
        <a:p>
          <a:pPr algn="ctr" rtl="0">
            <a:defRPr sz="1000"/>
          </a:pPr>
          <a:r>
            <a:rPr lang="en-US" sz="1700" b="1" i="0" u="none" strike="noStrike" baseline="0">
              <a:solidFill>
                <a:srgbClr val="800000"/>
              </a:solidFill>
              <a:latin typeface="Comic Sans MS"/>
            </a:rPr>
            <a:t>GrillRite</a:t>
          </a:r>
          <a:endParaRPr lang="en-US" sz="1600" b="1" i="0" u="none" strike="noStrike" baseline="0">
            <a:solidFill>
              <a:srgbClr val="800000"/>
            </a:solidFill>
            <a:latin typeface="Comic Sans MS"/>
          </a:endParaRPr>
        </a:p>
        <a:p>
          <a:pPr algn="ctr" rtl="0">
            <a:defRPr sz="1000"/>
          </a:pPr>
          <a:r>
            <a:rPr lang="en-US" sz="1400" b="1" i="0" u="none" strike="noStrike" baseline="0">
              <a:solidFill>
                <a:srgbClr val="3366FF"/>
              </a:solidFill>
              <a:latin typeface="Comic Sans MS"/>
            </a:rPr>
            <a:t>Optimizing Product Mix</a:t>
          </a:r>
        </a:p>
      </xdr:txBody>
    </xdr:sp>
    <xdr:clientData/>
  </xdr:twoCellAnchor>
  <mc:AlternateContent xmlns:mc="http://schemas.openxmlformats.org/markup-compatibility/2006">
    <mc:Choice xmlns:a14="http://schemas.microsoft.com/office/drawing/2010/main" Requires="a14">
      <xdr:twoCellAnchor editAs="oneCell">
        <xdr:from>
          <xdr:col>6</xdr:col>
          <xdr:colOff>603250</xdr:colOff>
          <xdr:row>12</xdr:row>
          <xdr:rowOff>50800</xdr:rowOff>
        </xdr:from>
        <xdr:to>
          <xdr:col>9</xdr:col>
          <xdr:colOff>57150</xdr:colOff>
          <xdr:row>15</xdr:row>
          <xdr:rowOff>95250</xdr:rowOff>
        </xdr:to>
        <xdr:sp macro="" textlink="">
          <xdr:nvSpPr>
            <xdr:cNvPr id="1034" name="cmdStart"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xdr:row>
          <xdr:rowOff>0</xdr:rowOff>
        </xdr:from>
        <xdr:to>
          <xdr:col>8</xdr:col>
          <xdr:colOff>469900</xdr:colOff>
          <xdr:row>18</xdr:row>
          <xdr:rowOff>12700</xdr:rowOff>
        </xdr:to>
        <xdr:sp macro="" textlink="">
          <xdr:nvSpPr>
            <xdr:cNvPr id="1035" name="cmdQuit"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527050</xdr:colOff>
          <xdr:row>24</xdr:row>
          <xdr:rowOff>0</xdr:rowOff>
        </xdr:from>
        <xdr:to>
          <xdr:col>1</xdr:col>
          <xdr:colOff>495300</xdr:colOff>
          <xdr:row>27</xdr:row>
          <xdr:rowOff>133350</xdr:rowOff>
        </xdr:to>
        <xdr:sp macro="" textlink="">
          <xdr:nvSpPr>
            <xdr:cNvPr id="2049" name="cmdSolver"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25</xdr:row>
          <xdr:rowOff>19050</xdr:rowOff>
        </xdr:from>
        <xdr:to>
          <xdr:col>3</xdr:col>
          <xdr:colOff>304800</xdr:colOff>
          <xdr:row>27</xdr:row>
          <xdr:rowOff>0</xdr:rowOff>
        </xdr:to>
        <xdr:sp macro="" textlink="">
          <xdr:nvSpPr>
            <xdr:cNvPr id="2050" name="cmdRetur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167528</xdr:colOff>
      <xdr:row>0</xdr:row>
      <xdr:rowOff>132229</xdr:rowOff>
    </xdr:from>
    <xdr:to>
      <xdr:col>13</xdr:col>
      <xdr:colOff>586634</xdr:colOff>
      <xdr:row>17</xdr:row>
      <xdr:rowOff>122704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589990</xdr:colOff>
      <xdr:row>1</xdr:row>
      <xdr:rowOff>0</xdr:rowOff>
    </xdr:from>
    <xdr:ext cx="2483950" cy="46102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89990" y="156882"/>
          <a:ext cx="2483950" cy="4610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vi-VN" sz="2500">
              <a:ln>
                <a:solidFill>
                  <a:srgbClr val="FF0000"/>
                </a:solidFill>
              </a:ln>
              <a:gradFill>
                <a:gsLst>
                  <a:gs pos="38036">
                    <a:schemeClr val="accent1">
                      <a:lumMod val="75000"/>
                    </a:schemeClr>
                  </a:gs>
                  <a:gs pos="0">
                    <a:srgbClr val="FF0000"/>
                  </a:gs>
                  <a:gs pos="74000">
                    <a:srgbClr val="C00000"/>
                  </a:gs>
                  <a:gs pos="83000">
                    <a:srgbClr val="C00000"/>
                  </a:gs>
                  <a:gs pos="100000">
                    <a:srgbClr val="C00000"/>
                  </a:gs>
                </a:gsLst>
                <a:lin ang="5400000" scaled="1"/>
              </a:gradFill>
              <a:effectLst>
                <a:outerShdw blurRad="50800" dist="38100" dir="10800000" algn="r" rotWithShape="0">
                  <a:srgbClr val="FFC000">
                    <a:alpha val="40000"/>
                  </a:srgbClr>
                </a:outerShdw>
                <a:reflection blurRad="6350" stA="60000" endA="900" endPos="58000" dir="5400000" sy="-100000" algn="bl" rotWithShape="0"/>
              </a:effectLst>
            </a:rPr>
            <a:t>Sale Dashboard</a:t>
          </a:r>
        </a:p>
      </xdr:txBody>
    </xdr:sp>
    <xdr:clientData/>
  </xdr:oneCellAnchor>
  <xdr:twoCellAnchor>
    <xdr:from>
      <xdr:col>14</xdr:col>
      <xdr:colOff>224677</xdr:colOff>
      <xdr:row>0</xdr:row>
      <xdr:rowOff>132229</xdr:rowOff>
    </xdr:from>
    <xdr:to>
      <xdr:col>22</xdr:col>
      <xdr:colOff>48185</xdr:colOff>
      <xdr:row>17</xdr:row>
      <xdr:rowOff>122704</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158003</xdr:colOff>
      <xdr:row>19</xdr:row>
      <xdr:rowOff>22972</xdr:rowOff>
    </xdr:from>
    <xdr:to>
      <xdr:col>22</xdr:col>
      <xdr:colOff>78441</xdr:colOff>
      <xdr:row>36</xdr:row>
      <xdr:rowOff>13447</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542924</xdr:colOff>
      <xdr:row>4</xdr:row>
      <xdr:rowOff>142316</xdr:rowOff>
    </xdr:from>
    <xdr:to>
      <xdr:col>4</xdr:col>
      <xdr:colOff>565336</xdr:colOff>
      <xdr:row>8</xdr:row>
      <xdr:rowOff>33617</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42924" y="769845"/>
              <a:ext cx="2442883" cy="518831"/>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536760</xdr:colOff>
      <xdr:row>15</xdr:row>
      <xdr:rowOff>147916</xdr:rowOff>
    </xdr:from>
    <xdr:to>
      <xdr:col>4</xdr:col>
      <xdr:colOff>571499</xdr:colOff>
      <xdr:row>24</xdr:row>
      <xdr:rowOff>78442</xdr:rowOff>
    </xdr:to>
    <mc:AlternateContent xmlns:mc="http://schemas.openxmlformats.org/markup-compatibility/2006" xmlns:a14="http://schemas.microsoft.com/office/drawing/2010/main">
      <mc:Choice Requires="a14">
        <xdr:graphicFrame macro="">
          <xdr:nvGraphicFramePr>
            <xdr:cNvPr id="7" name="Rep">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microsoft.com/office/drawing/2010/slicer">
              <sle:slicer xmlns:sle="http://schemas.microsoft.com/office/drawing/2010/slicer" name="Rep"/>
            </a:graphicData>
          </a:graphic>
        </xdr:graphicFrame>
      </mc:Choice>
      <mc:Fallback xmlns="">
        <xdr:sp macro="" textlink="">
          <xdr:nvSpPr>
            <xdr:cNvPr id="0" name=""/>
            <xdr:cNvSpPr>
              <a:spLocks noTextEdit="1"/>
            </xdr:cNvSpPr>
          </xdr:nvSpPr>
          <xdr:spPr>
            <a:xfrm>
              <a:off x="536760" y="2501151"/>
              <a:ext cx="2455210" cy="1342467"/>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545165</xdr:colOff>
      <xdr:row>9</xdr:row>
      <xdr:rowOff>7844</xdr:rowOff>
    </xdr:from>
    <xdr:to>
      <xdr:col>4</xdr:col>
      <xdr:colOff>563095</xdr:colOff>
      <xdr:row>15</xdr:row>
      <xdr:rowOff>0</xdr:rowOff>
    </xdr:to>
    <mc:AlternateContent xmlns:mc="http://schemas.openxmlformats.org/markup-compatibility/2006" xmlns:a14="http://schemas.microsoft.com/office/drawing/2010/main">
      <mc:Choice Requires="a14">
        <xdr:graphicFrame macro="">
          <xdr:nvGraphicFramePr>
            <xdr:cNvPr id="8" name="Item">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545165" y="1419785"/>
              <a:ext cx="2438401" cy="933450"/>
            </a:xfrm>
            <a:prstGeom prst="rect">
              <a:avLst/>
            </a:prstGeom>
            <a:solidFill>
              <a:prstClr val="white"/>
            </a:solidFill>
            <a:ln w="1">
              <a:solidFill>
                <a:prstClr val="green"/>
              </a:solidFill>
            </a:ln>
          </xdr:spPr>
          <xdr:txBody>
            <a:bodyPr vertOverflow="clip" horzOverflow="clip"/>
            <a:lstStyle/>
            <a:p>
              <a:r>
                <a:rPr lang="vi-V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2673.901972222222" createdVersion="6" refreshedVersion="6" minRefreshableVersion="3" recordCount="43" xr:uid="{00000000-000A-0000-FFFF-FFFF00000000}">
  <cacheSource type="worksheet">
    <worksheetSource name="Table1"/>
  </cacheSource>
  <cacheFields count="7">
    <cacheField name="OrderDate" numFmtId="165">
      <sharedItems containsSemiMixedTypes="0" containsNonDate="0" containsDate="1" containsString="0" minDate="2015-01-06T00:00:00" maxDate="2016-12-22T00:00:00"/>
    </cacheField>
    <cacheField name="Region" numFmtId="0">
      <sharedItems count="3">
        <s v="East"/>
        <s v="Central"/>
        <s v="West"/>
      </sharedItems>
    </cacheField>
    <cacheField name="Rep" numFmtId="0">
      <sharedItems count="11">
        <s v="Jones"/>
        <s v="Kivell"/>
        <s v="Jardine"/>
        <s v="Gill"/>
        <s v="Sorvino"/>
        <s v="Andrews"/>
        <s v="Thompson"/>
        <s v="Morgan"/>
        <s v="Howard"/>
        <s v="Parent"/>
        <s v="Smith"/>
      </sharedItems>
    </cacheField>
    <cacheField name="Item" numFmtId="0">
      <sharedItems count="5">
        <s v="Pencil"/>
        <s v="Binder"/>
        <s v="Pen"/>
        <s v="Desk"/>
        <s v="Pen Set"/>
      </sharedItems>
    </cacheField>
    <cacheField name="Units" numFmtId="0">
      <sharedItems containsSemiMixedTypes="0" containsString="0" containsNumber="1" containsInteger="1" minValue="2" maxValue="96"/>
    </cacheField>
    <cacheField name="Unit Cost" numFmtId="43">
      <sharedItems containsSemiMixedTypes="0" containsString="0" containsNumber="1" minValue="1.29" maxValue="275"/>
    </cacheField>
    <cacheField name="Total" numFmtId="43">
      <sharedItems containsSemiMixedTypes="0" containsString="0" containsNumber="1" minValue="9.0300000000000011" maxValue="1879.06" count="41">
        <n v="189.05"/>
        <n v="999.49999999999989"/>
        <n v="179.64000000000001"/>
        <n v="539.7299999999999"/>
        <n v="167.44"/>
        <n v="299.40000000000003"/>
        <n v="149.25"/>
        <n v="449.1"/>
        <n v="63.68"/>
        <n v="539.4"/>
        <n v="57.71"/>
        <n v="1619.1899999999998"/>
        <n v="174.65"/>
        <n v="250"/>
        <n v="255.84"/>
        <n v="251.72"/>
        <n v="575.36"/>
        <n v="299.84999999999997"/>
        <n v="479.04"/>
        <n v="86.43"/>
        <n v="1183.26"/>
        <n v="413.54"/>
        <n v="1305"/>
        <n v="19.96"/>
        <n v="139.92999999999998"/>
        <n v="249.5"/>
        <n v="131.34"/>
        <n v="68.37"/>
        <n v="719.2"/>
        <n v="625"/>
        <n v="309.38"/>
        <n v="686.95"/>
        <n v="1005.9"/>
        <n v="825"/>
        <n v="9.0300000000000011"/>
        <n v="151.24"/>
        <n v="1139.4299999999998"/>
        <n v="18.060000000000002"/>
        <n v="54.89"/>
        <n v="1879.06"/>
        <n v="139.72"/>
      </sharedItems>
      <fieldGroup base="6">
        <rangePr autoStart="0" autoEnd="0" startNum="0" endNum="2000" groupInterval="100"/>
        <groupItems count="22">
          <s v="&lt;0"/>
          <s v="0-100"/>
          <s v="100-200"/>
          <s v="200-300"/>
          <s v="300-400"/>
          <s v="400-500"/>
          <s v="500-600"/>
          <s v="600-700"/>
          <s v="700-800"/>
          <s v="800-900"/>
          <s v="900-1000"/>
          <s v="1000-1100"/>
          <s v="1100-1200"/>
          <s v="1200-1300"/>
          <s v="1300-1400"/>
          <s v="1400-1500"/>
          <s v="1500-1600"/>
          <s v="1600-1700"/>
          <s v="1700-1800"/>
          <s v="1800-1900"/>
          <s v="1900-2000"/>
          <s v="&gt;2000"/>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3">
  <r>
    <d v="2015-01-06T00:00:00"/>
    <x v="0"/>
    <x v="0"/>
    <x v="0"/>
    <n v="95"/>
    <n v="1.99"/>
    <x v="0"/>
  </r>
  <r>
    <d v="2015-01-23T00:00:00"/>
    <x v="1"/>
    <x v="1"/>
    <x v="1"/>
    <n v="50"/>
    <n v="19.989999999999998"/>
    <x v="1"/>
  </r>
  <r>
    <d v="2015-02-09T00:00:00"/>
    <x v="1"/>
    <x v="2"/>
    <x v="0"/>
    <n v="36"/>
    <n v="4.99"/>
    <x v="2"/>
  </r>
  <r>
    <d v="2015-02-26T00:00:00"/>
    <x v="1"/>
    <x v="3"/>
    <x v="2"/>
    <n v="27"/>
    <n v="19.989999999999998"/>
    <x v="3"/>
  </r>
  <r>
    <d v="2015-03-15T00:00:00"/>
    <x v="2"/>
    <x v="4"/>
    <x v="0"/>
    <n v="56"/>
    <n v="2.99"/>
    <x v="4"/>
  </r>
  <r>
    <d v="2015-04-01T00:00:00"/>
    <x v="0"/>
    <x v="0"/>
    <x v="1"/>
    <n v="60"/>
    <n v="4.99"/>
    <x v="5"/>
  </r>
  <r>
    <d v="2015-04-18T00:00:00"/>
    <x v="1"/>
    <x v="5"/>
    <x v="0"/>
    <n v="75"/>
    <n v="1.99"/>
    <x v="6"/>
  </r>
  <r>
    <d v="2015-05-05T00:00:00"/>
    <x v="1"/>
    <x v="2"/>
    <x v="0"/>
    <n v="90"/>
    <n v="4.99"/>
    <x v="7"/>
  </r>
  <r>
    <d v="2015-05-22T00:00:00"/>
    <x v="2"/>
    <x v="6"/>
    <x v="0"/>
    <n v="32"/>
    <n v="1.99"/>
    <x v="8"/>
  </r>
  <r>
    <d v="2015-06-08T00:00:00"/>
    <x v="0"/>
    <x v="0"/>
    <x v="1"/>
    <n v="60"/>
    <n v="8.99"/>
    <x v="9"/>
  </r>
  <r>
    <d v="2015-06-25T00:00:00"/>
    <x v="1"/>
    <x v="7"/>
    <x v="0"/>
    <n v="90"/>
    <n v="4.99"/>
    <x v="7"/>
  </r>
  <r>
    <d v="2015-07-12T00:00:00"/>
    <x v="0"/>
    <x v="8"/>
    <x v="1"/>
    <n v="29"/>
    <n v="1.99"/>
    <x v="10"/>
  </r>
  <r>
    <d v="2015-07-29T00:00:00"/>
    <x v="0"/>
    <x v="9"/>
    <x v="1"/>
    <n v="81"/>
    <n v="19.989999999999998"/>
    <x v="11"/>
  </r>
  <r>
    <d v="2015-08-15T00:00:00"/>
    <x v="0"/>
    <x v="0"/>
    <x v="0"/>
    <n v="35"/>
    <n v="4.99"/>
    <x v="12"/>
  </r>
  <r>
    <d v="2015-09-01T00:00:00"/>
    <x v="1"/>
    <x v="10"/>
    <x v="3"/>
    <n v="2"/>
    <n v="125"/>
    <x v="13"/>
  </r>
  <r>
    <d v="2015-09-18T00:00:00"/>
    <x v="0"/>
    <x v="0"/>
    <x v="4"/>
    <n v="16"/>
    <n v="15.99"/>
    <x v="14"/>
  </r>
  <r>
    <d v="2015-10-05T00:00:00"/>
    <x v="1"/>
    <x v="7"/>
    <x v="1"/>
    <n v="28"/>
    <n v="8.99"/>
    <x v="15"/>
  </r>
  <r>
    <d v="2015-10-22T00:00:00"/>
    <x v="0"/>
    <x v="0"/>
    <x v="2"/>
    <n v="64"/>
    <n v="8.99"/>
    <x v="16"/>
  </r>
  <r>
    <d v="2015-11-08T00:00:00"/>
    <x v="0"/>
    <x v="9"/>
    <x v="2"/>
    <n v="15"/>
    <n v="19.989999999999998"/>
    <x v="17"/>
  </r>
  <r>
    <d v="2015-11-25T00:00:00"/>
    <x v="1"/>
    <x v="1"/>
    <x v="4"/>
    <n v="96"/>
    <n v="4.99"/>
    <x v="18"/>
  </r>
  <r>
    <d v="2015-12-12T00:00:00"/>
    <x v="1"/>
    <x v="10"/>
    <x v="0"/>
    <n v="67"/>
    <n v="1.29"/>
    <x v="19"/>
  </r>
  <r>
    <d v="2015-12-29T00:00:00"/>
    <x v="0"/>
    <x v="9"/>
    <x v="4"/>
    <n v="74"/>
    <n v="15.99"/>
    <x v="20"/>
  </r>
  <r>
    <d v="2016-01-15T00:00:00"/>
    <x v="1"/>
    <x v="3"/>
    <x v="1"/>
    <n v="46"/>
    <n v="8.99"/>
    <x v="21"/>
  </r>
  <r>
    <d v="2016-02-01T00:00:00"/>
    <x v="1"/>
    <x v="10"/>
    <x v="1"/>
    <n v="87"/>
    <n v="15"/>
    <x v="22"/>
  </r>
  <r>
    <d v="2016-02-18T00:00:00"/>
    <x v="0"/>
    <x v="0"/>
    <x v="1"/>
    <n v="4"/>
    <n v="4.99"/>
    <x v="23"/>
  </r>
  <r>
    <d v="2016-03-07T00:00:00"/>
    <x v="2"/>
    <x v="4"/>
    <x v="1"/>
    <n v="7"/>
    <n v="19.989999999999998"/>
    <x v="24"/>
  </r>
  <r>
    <d v="2016-03-24T00:00:00"/>
    <x v="1"/>
    <x v="2"/>
    <x v="4"/>
    <n v="50"/>
    <n v="4.99"/>
    <x v="25"/>
  </r>
  <r>
    <d v="2016-04-10T00:00:00"/>
    <x v="1"/>
    <x v="5"/>
    <x v="0"/>
    <n v="66"/>
    <n v="1.99"/>
    <x v="26"/>
  </r>
  <r>
    <d v="2016-04-27T00:00:00"/>
    <x v="0"/>
    <x v="8"/>
    <x v="2"/>
    <n v="96"/>
    <n v="4.99"/>
    <x v="18"/>
  </r>
  <r>
    <d v="2016-05-14T00:00:00"/>
    <x v="1"/>
    <x v="3"/>
    <x v="0"/>
    <n v="53"/>
    <n v="1.29"/>
    <x v="27"/>
  </r>
  <r>
    <d v="2016-05-31T00:00:00"/>
    <x v="1"/>
    <x v="3"/>
    <x v="1"/>
    <n v="80"/>
    <n v="8.99"/>
    <x v="28"/>
  </r>
  <r>
    <d v="2016-06-17T00:00:00"/>
    <x v="1"/>
    <x v="1"/>
    <x v="3"/>
    <n v="5"/>
    <n v="125"/>
    <x v="29"/>
  </r>
  <r>
    <d v="2016-07-04T00:00:00"/>
    <x v="0"/>
    <x v="0"/>
    <x v="4"/>
    <n v="62"/>
    <n v="4.99"/>
    <x v="30"/>
  </r>
  <r>
    <d v="2016-07-21T00:00:00"/>
    <x v="1"/>
    <x v="7"/>
    <x v="4"/>
    <n v="55"/>
    <n v="12.49"/>
    <x v="31"/>
  </r>
  <r>
    <d v="2016-08-07T00:00:00"/>
    <x v="1"/>
    <x v="1"/>
    <x v="4"/>
    <n v="42"/>
    <n v="23.95"/>
    <x v="32"/>
  </r>
  <r>
    <d v="2016-08-24T00:00:00"/>
    <x v="2"/>
    <x v="4"/>
    <x v="3"/>
    <n v="3"/>
    <n v="275"/>
    <x v="33"/>
  </r>
  <r>
    <d v="2016-09-10T00:00:00"/>
    <x v="1"/>
    <x v="3"/>
    <x v="0"/>
    <n v="7"/>
    <n v="1.29"/>
    <x v="34"/>
  </r>
  <r>
    <d v="2016-09-27T00:00:00"/>
    <x v="2"/>
    <x v="4"/>
    <x v="2"/>
    <n v="76"/>
    <n v="1.99"/>
    <x v="35"/>
  </r>
  <r>
    <d v="2016-10-14T00:00:00"/>
    <x v="2"/>
    <x v="6"/>
    <x v="1"/>
    <n v="57"/>
    <n v="19.989999999999998"/>
    <x v="36"/>
  </r>
  <r>
    <d v="2016-10-31T00:00:00"/>
    <x v="1"/>
    <x v="5"/>
    <x v="0"/>
    <n v="14"/>
    <n v="1.29"/>
    <x v="37"/>
  </r>
  <r>
    <d v="2016-11-17T00:00:00"/>
    <x v="1"/>
    <x v="2"/>
    <x v="1"/>
    <n v="11"/>
    <n v="4.99"/>
    <x v="38"/>
  </r>
  <r>
    <d v="2016-12-04T00:00:00"/>
    <x v="1"/>
    <x v="2"/>
    <x v="1"/>
    <n v="94"/>
    <n v="19.989999999999998"/>
    <x v="39"/>
  </r>
  <r>
    <d v="2016-12-21T00:00:00"/>
    <x v="1"/>
    <x v="5"/>
    <x v="1"/>
    <n v="28"/>
    <n v="4.99"/>
    <x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9" firstHeaderRow="1" firstDataRow="1" firstDataCol="1"/>
  <pivotFields count="7">
    <pivotField numFmtId="165" showAll="0"/>
    <pivotField showAll="0">
      <items count="4">
        <item x="1"/>
        <item h="1" x="0"/>
        <item h="1" x="2"/>
        <item t="default"/>
      </items>
    </pivotField>
    <pivotField axis="axisRow" showAll="0" measureFilter="1" sortType="descending">
      <items count="12">
        <item x="5"/>
        <item x="3"/>
        <item x="8"/>
        <item x="2"/>
        <item x="0"/>
        <item x="1"/>
        <item x="7"/>
        <item x="9"/>
        <item x="10"/>
        <item x="4"/>
        <item x="6"/>
        <item t="default"/>
      </items>
      <autoSortScope>
        <pivotArea dataOnly="0" outline="0" fieldPosition="0">
          <references count="1">
            <reference field="4294967294" count="1" selected="0">
              <x v="0"/>
            </reference>
          </references>
        </pivotArea>
      </autoSortScope>
    </pivotField>
    <pivotField showAll="0"/>
    <pivotField showAll="0"/>
    <pivotField numFmtId="43" showAll="0"/>
    <pivotField dataField="1" numFmtId="43" showAll="0">
      <items count="23">
        <item x="0"/>
        <item x="1"/>
        <item x="2"/>
        <item x="3"/>
        <item x="4"/>
        <item x="5"/>
        <item x="6"/>
        <item x="7"/>
        <item x="8"/>
        <item x="9"/>
        <item x="10"/>
        <item x="11"/>
        <item x="12"/>
        <item x="13"/>
        <item x="14"/>
        <item x="15"/>
        <item x="16"/>
        <item x="17"/>
        <item x="18"/>
        <item x="19"/>
        <item x="20"/>
        <item x="21"/>
        <item t="default"/>
      </items>
    </pivotField>
  </pivotFields>
  <rowFields count="1">
    <field x="2"/>
  </rowFields>
  <rowItems count="6">
    <i>
      <x v="5"/>
    </i>
    <i>
      <x v="3"/>
    </i>
    <i>
      <x v="1"/>
    </i>
    <i>
      <x v="8"/>
    </i>
    <i>
      <x v="6"/>
    </i>
    <i t="grand">
      <x/>
    </i>
  </rowItems>
  <colItems count="1">
    <i/>
  </colItems>
  <dataFields count="1">
    <dataField name="Sum of Total" fld="6"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5" firstHeaderRow="1" firstDataRow="1" firstDataCol="1"/>
  <pivotFields count="7">
    <pivotField numFmtId="165" showAll="0"/>
    <pivotField showAll="0">
      <items count="4">
        <item x="1"/>
        <item h="1" x="0"/>
        <item h="1" x="2"/>
        <item t="default"/>
      </items>
    </pivotField>
    <pivotField showAll="0"/>
    <pivotField showAll="0"/>
    <pivotField showAll="0"/>
    <pivotField numFmtId="43" showAll="0"/>
    <pivotField axis="axisRow" dataField="1" numFmtId="43" showAll="0">
      <items count="23">
        <item x="0"/>
        <item x="1"/>
        <item x="2"/>
        <item x="3"/>
        <item x="4"/>
        <item x="5"/>
        <item x="6"/>
        <item x="7"/>
        <item x="8"/>
        <item x="9"/>
        <item x="10"/>
        <item x="11"/>
        <item x="12"/>
        <item x="13"/>
        <item x="14"/>
        <item x="15"/>
        <item x="16"/>
        <item x="17"/>
        <item x="18"/>
        <item x="19"/>
        <item x="20"/>
        <item x="21"/>
        <item t="default"/>
      </items>
    </pivotField>
  </pivotFields>
  <rowFields count="1">
    <field x="6"/>
  </rowFields>
  <rowItems count="12">
    <i>
      <x v="1"/>
    </i>
    <i>
      <x v="2"/>
    </i>
    <i>
      <x v="3"/>
    </i>
    <i>
      <x v="5"/>
    </i>
    <i>
      <x v="6"/>
    </i>
    <i>
      <x v="7"/>
    </i>
    <i>
      <x v="8"/>
    </i>
    <i>
      <x v="10"/>
    </i>
    <i>
      <x v="11"/>
    </i>
    <i>
      <x v="14"/>
    </i>
    <i>
      <x v="19"/>
    </i>
    <i t="grand">
      <x/>
    </i>
  </rowItems>
  <colItems count="1">
    <i/>
  </colItems>
  <dataFields count="1">
    <dataField name="Count of Total" fld="6" subtotal="count" baseField="0" baseItem="0"/>
  </dataFields>
  <chartFormats count="1">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4" firstHeaderRow="1" firstDataRow="1" firstDataCol="1"/>
  <pivotFields count="7">
    <pivotField numFmtId="165" showAll="0"/>
    <pivotField axis="axisRow" showAll="0">
      <items count="4">
        <item x="1"/>
        <item h="1" x="0"/>
        <item h="1" x="2"/>
        <item t="default"/>
      </items>
    </pivotField>
    <pivotField showAll="0">
      <items count="12">
        <item h="1" x="5"/>
        <item h="1" x="3"/>
        <item h="1" x="8"/>
        <item h="1" x="2"/>
        <item h="1" x="0"/>
        <item h="1" x="1"/>
        <item h="1" x="7"/>
        <item h="1" x="9"/>
        <item h="1" x="10"/>
        <item x="4"/>
        <item h="1" x="6"/>
        <item t="default"/>
      </items>
    </pivotField>
    <pivotField axis="axisRow" showAll="0">
      <items count="6">
        <item h="1" x="1"/>
        <item h="1" x="3"/>
        <item x="2"/>
        <item h="1" x="4"/>
        <item h="1" x="0"/>
        <item t="default"/>
      </items>
    </pivotField>
    <pivotField showAll="0"/>
    <pivotField numFmtId="43" showAll="0"/>
    <pivotField dataField="1" numFmtId="43" showAll="0"/>
  </pivotFields>
  <rowFields count="2">
    <field x="1"/>
    <field x="3"/>
  </rowFields>
  <rowItems count="1">
    <i t="grand">
      <x/>
    </i>
  </rowItems>
  <colItems count="1">
    <i/>
  </colItems>
  <dataFields count="1">
    <dataField name="Sum of Total" fld="6" baseField="1"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11" name="PivotTable3"/>
    <pivotTable tabId="8" name="PivotTable1"/>
    <pivotTable tabId="10" name="PivotTable2"/>
  </pivotTables>
  <data>
    <tabular pivotCacheId="1">
      <items count="3">
        <i x="1" s="1"/>
        <i x="0"/>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 xr10:uid="{00000000-0013-0000-FFFF-FFFF02000000}" sourceName="Rep">
  <pivotTables>
    <pivotTable tabId="11" name="PivotTable3"/>
  </pivotTables>
  <data>
    <tabular pivotCacheId="1">
      <items count="11">
        <i x="3"/>
        <i x="5" nd="1"/>
        <i x="8" nd="1"/>
        <i x="2" nd="1"/>
        <i x="0" nd="1"/>
        <i x="1" nd="1"/>
        <i x="7" nd="1"/>
        <i x="9" nd="1"/>
        <i x="10" nd="1"/>
        <i x="4" s="1" nd="1"/>
        <i x="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00000000-0013-0000-FFFF-FFFF03000000}" sourceName="Item">
  <pivotTables>
    <pivotTable tabId="11" name="PivotTable3"/>
  </pivotTables>
  <data>
    <tabular pivotCacheId="1">
      <items count="5">
        <i x="1" nd="1"/>
        <i x="3" nd="1"/>
        <i x="2" s="1" nd="1"/>
        <i x="4"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1000000}" cache="Slicer_Region" caption="Region" columnCount="3" showCaption="0" style="SlicerStyleDark1" rowHeight="365760"/>
  <slicer name="Rep" xr10:uid="{00000000-0014-0000-FFFF-FFFF02000000}" cache="Slicer_Rep" caption="Rep" columnCount="3" showCaption="0" style="SlicerStyleLight2" rowHeight="274320"/>
  <slicer name="Item" xr10:uid="{00000000-0014-0000-FFFF-FFFF03000000}" cache="Slicer_Item" caption="Item" columnCount="3" showCaption="0" style="SlicerStyleDark6"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G44" totalsRowShown="0">
  <tableColumns count="7">
    <tableColumn id="1" xr3:uid="{00000000-0010-0000-0000-000001000000}" name="OrderDate"/>
    <tableColumn id="2" xr3:uid="{00000000-0010-0000-0000-000002000000}" name="Region"/>
    <tableColumn id="3" xr3:uid="{00000000-0010-0000-0000-000003000000}" name="Rep"/>
    <tableColumn id="4" xr3:uid="{00000000-0010-0000-0000-000004000000}" name="Item"/>
    <tableColumn id="5" xr3:uid="{00000000-0010-0000-0000-000005000000}" name="Units"/>
    <tableColumn id="6" xr3:uid="{00000000-0010-0000-0000-000006000000}" name="Unit Cost"/>
    <tableColumn id="7" xr3:uid="{00000000-0010-0000-0000-000007000000}" name="Total">
      <calculatedColumnFormula>F2*E2</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A1:B8"/>
  <sheetViews>
    <sheetView tabSelected="1" workbookViewId="0">
      <selection activeCell="B4" sqref="B4"/>
    </sheetView>
  </sheetViews>
  <sheetFormatPr defaultColWidth="9.1796875" defaultRowHeight="12.5" x14ac:dyDescent="0.25"/>
  <cols>
    <col min="1" max="1" width="15.81640625" style="2" customWidth="1"/>
    <col min="2" max="2" width="33.26953125" style="2" customWidth="1"/>
    <col min="3" max="16384" width="9.1796875" style="2"/>
  </cols>
  <sheetData>
    <row r="1" spans="1:2" ht="25.5" thickBot="1" x14ac:dyDescent="0.55000000000000004">
      <c r="A1" s="79" t="s">
        <v>72</v>
      </c>
      <c r="B1" s="80"/>
    </row>
    <row r="2" spans="1:2" ht="13.5" thickTop="1" thickBot="1" x14ac:dyDescent="0.3"/>
    <row r="3" spans="1:2" ht="13" x14ac:dyDescent="0.3">
      <c r="A3" s="3" t="s">
        <v>15</v>
      </c>
      <c r="B3" s="73">
        <v>42672</v>
      </c>
    </row>
    <row r="4" spans="1:2" ht="13.5" thickBot="1" x14ac:dyDescent="0.35">
      <c r="A4" s="3" t="s">
        <v>16</v>
      </c>
      <c r="B4" s="4" t="s">
        <v>89</v>
      </c>
    </row>
    <row r="5" spans="1:2" ht="13" x14ac:dyDescent="0.3">
      <c r="A5" s="3"/>
    </row>
    <row r="6" spans="1:2" ht="13" x14ac:dyDescent="0.3">
      <c r="A6" s="3" t="s">
        <v>17</v>
      </c>
      <c r="B6" s="2" t="s">
        <v>36</v>
      </c>
    </row>
    <row r="7" spans="1:2" x14ac:dyDescent="0.25">
      <c r="B7" s="2" t="s">
        <v>37</v>
      </c>
    </row>
    <row r="8" spans="1:2" x14ac:dyDescent="0.25">
      <c r="B8" s="2" t="s">
        <v>71</v>
      </c>
    </row>
  </sheetData>
  <mergeCells count="1">
    <mergeCell ref="A1:B1"/>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5" tint="0.79998168889431442"/>
  </sheetPr>
  <dimension ref="A1:V39"/>
  <sheetViews>
    <sheetView showGridLines="0" workbookViewId="0"/>
  </sheetViews>
  <sheetFormatPr defaultRowHeight="12.5" x14ac:dyDescent="0.25"/>
  <sheetData>
    <row r="1" spans="1:22" x14ac:dyDescent="0.25">
      <c r="A1" s="46"/>
      <c r="B1" s="46"/>
      <c r="C1" s="46"/>
      <c r="D1" s="46"/>
      <c r="E1" s="46"/>
      <c r="F1" s="46"/>
      <c r="G1" s="46"/>
      <c r="H1" s="46"/>
      <c r="I1" s="46"/>
      <c r="J1" s="46"/>
      <c r="K1" s="46"/>
      <c r="L1" s="46"/>
      <c r="M1" s="46"/>
      <c r="N1" s="46"/>
      <c r="O1" s="46"/>
      <c r="P1" s="46"/>
      <c r="Q1" s="46"/>
      <c r="R1" s="46"/>
      <c r="S1" s="46"/>
      <c r="T1" s="46"/>
      <c r="U1" s="46"/>
      <c r="V1" s="46"/>
    </row>
    <row r="2" spans="1:22" x14ac:dyDescent="0.25">
      <c r="A2" s="46"/>
      <c r="B2" s="46"/>
      <c r="C2" s="46"/>
      <c r="D2" s="46"/>
      <c r="E2" s="46"/>
      <c r="F2" s="46"/>
      <c r="G2" s="46"/>
      <c r="H2" s="46"/>
      <c r="I2" s="46"/>
      <c r="J2" s="46"/>
      <c r="K2" s="46"/>
      <c r="L2" s="46"/>
      <c r="M2" s="46"/>
      <c r="N2" s="46"/>
      <c r="O2" s="46"/>
      <c r="P2" s="46"/>
      <c r="Q2" s="46"/>
      <c r="R2" s="46"/>
      <c r="S2" s="46"/>
      <c r="T2" s="46"/>
      <c r="U2" s="46"/>
      <c r="V2" s="46"/>
    </row>
    <row r="3" spans="1:22" x14ac:dyDescent="0.25">
      <c r="A3" s="46"/>
      <c r="B3" s="46"/>
      <c r="C3" s="46"/>
      <c r="D3" s="46"/>
      <c r="E3" s="46"/>
      <c r="F3" s="46"/>
      <c r="G3" s="46"/>
      <c r="H3" s="46"/>
      <c r="I3" s="46"/>
      <c r="J3" s="46"/>
      <c r="K3" s="46"/>
      <c r="L3" s="46"/>
      <c r="M3" s="46"/>
      <c r="N3" s="46"/>
      <c r="O3" s="46"/>
      <c r="P3" s="46"/>
      <c r="Q3" s="46"/>
      <c r="R3" s="46"/>
      <c r="S3" s="46"/>
      <c r="T3" s="46"/>
      <c r="U3" s="46"/>
      <c r="V3" s="46"/>
    </row>
    <row r="4" spans="1:22" x14ac:dyDescent="0.25">
      <c r="A4" s="46"/>
      <c r="B4" s="46"/>
      <c r="C4" s="46"/>
      <c r="D4" s="46"/>
      <c r="E4" s="46"/>
      <c r="F4" s="46"/>
      <c r="G4" s="46"/>
      <c r="H4" s="46"/>
      <c r="I4" s="46"/>
      <c r="J4" s="46"/>
      <c r="K4" s="46"/>
      <c r="L4" s="46"/>
      <c r="M4" s="46"/>
      <c r="N4" s="46"/>
      <c r="O4" s="46"/>
      <c r="P4" s="46"/>
      <c r="Q4" s="46"/>
      <c r="R4" s="46"/>
      <c r="S4" s="46"/>
      <c r="T4" s="46"/>
      <c r="U4" s="46"/>
      <c r="V4" s="46"/>
    </row>
    <row r="5" spans="1:22" x14ac:dyDescent="0.25">
      <c r="A5" s="46"/>
      <c r="B5" s="46"/>
      <c r="C5" s="46"/>
      <c r="D5" s="46"/>
      <c r="E5" s="46"/>
      <c r="F5" s="46"/>
      <c r="G5" s="46"/>
      <c r="H5" s="46"/>
      <c r="I5" s="46"/>
      <c r="J5" s="46"/>
      <c r="K5" s="46"/>
      <c r="L5" s="46"/>
      <c r="M5" s="46"/>
      <c r="N5" s="46"/>
      <c r="O5" s="46"/>
      <c r="P5" s="46"/>
      <c r="Q5" s="46"/>
      <c r="R5" s="46"/>
      <c r="S5" s="46"/>
      <c r="T5" s="46"/>
      <c r="U5" s="46"/>
      <c r="V5" s="46"/>
    </row>
    <row r="6" spans="1:22" x14ac:dyDescent="0.25">
      <c r="A6" s="46"/>
      <c r="B6" s="46"/>
      <c r="C6" s="46"/>
      <c r="D6" s="46"/>
      <c r="E6" s="46"/>
      <c r="F6" s="46"/>
      <c r="G6" s="46"/>
      <c r="H6" s="46"/>
      <c r="I6" s="46"/>
      <c r="J6" s="46"/>
      <c r="K6" s="46"/>
      <c r="L6" s="46"/>
      <c r="M6" s="46"/>
      <c r="N6" s="46"/>
      <c r="O6" s="46"/>
      <c r="P6" s="46"/>
      <c r="Q6" s="46"/>
      <c r="R6" s="46"/>
      <c r="S6" s="46"/>
      <c r="T6" s="46"/>
      <c r="U6" s="46"/>
      <c r="V6" s="46"/>
    </row>
    <row r="7" spans="1:22" x14ac:dyDescent="0.25">
      <c r="A7" s="46"/>
      <c r="B7" s="46"/>
      <c r="C7" s="46"/>
      <c r="D7" s="46"/>
      <c r="E7" s="46"/>
      <c r="F7" s="46"/>
      <c r="G7" s="46"/>
      <c r="H7" s="46"/>
      <c r="I7" s="46"/>
      <c r="J7" s="46"/>
      <c r="K7" s="46"/>
      <c r="L7" s="46"/>
      <c r="M7" s="46"/>
      <c r="N7" s="46"/>
      <c r="O7" s="46"/>
      <c r="P7" s="46"/>
      <c r="Q7" s="46"/>
      <c r="R7" s="46"/>
      <c r="S7" s="46"/>
      <c r="T7" s="46"/>
      <c r="U7" s="46"/>
      <c r="V7" s="46"/>
    </row>
    <row r="8" spans="1:22" x14ac:dyDescent="0.25">
      <c r="A8" s="46"/>
      <c r="B8" s="46"/>
      <c r="C8" s="46"/>
      <c r="D8" s="46"/>
      <c r="E8" s="46"/>
      <c r="F8" s="46"/>
      <c r="G8" s="46"/>
      <c r="H8" s="46"/>
      <c r="I8" s="46"/>
      <c r="J8" s="46"/>
      <c r="K8" s="46"/>
      <c r="L8" s="46"/>
      <c r="M8" s="46"/>
      <c r="N8" s="46"/>
      <c r="O8" s="46"/>
      <c r="P8" s="46"/>
      <c r="Q8" s="46"/>
      <c r="R8" s="46"/>
      <c r="S8" s="46"/>
      <c r="T8" s="46"/>
      <c r="U8" s="46"/>
      <c r="V8" s="46"/>
    </row>
    <row r="9" spans="1:22" x14ac:dyDescent="0.25">
      <c r="A9" s="46"/>
      <c r="B9" s="46"/>
      <c r="C9" s="46"/>
      <c r="D9" s="46"/>
      <c r="E9" s="46"/>
      <c r="F9" s="46"/>
      <c r="G9" s="46"/>
      <c r="H9" s="46"/>
      <c r="I9" s="46"/>
      <c r="J9" s="46"/>
      <c r="K9" s="46"/>
      <c r="L9" s="46"/>
      <c r="M9" s="46"/>
      <c r="N9" s="46"/>
      <c r="O9" s="46"/>
      <c r="P9" s="46"/>
      <c r="Q9" s="46"/>
      <c r="R9" s="46"/>
      <c r="S9" s="46"/>
      <c r="T9" s="46"/>
      <c r="U9" s="46"/>
      <c r="V9" s="46"/>
    </row>
    <row r="10" spans="1:22" x14ac:dyDescent="0.25">
      <c r="A10" s="46"/>
      <c r="B10" s="46"/>
      <c r="C10" s="46"/>
      <c r="D10" s="46"/>
      <c r="E10" s="46"/>
      <c r="F10" s="46"/>
      <c r="G10" s="46"/>
      <c r="H10" s="46"/>
      <c r="I10" s="46"/>
      <c r="J10" s="46"/>
      <c r="K10" s="46"/>
      <c r="L10" s="46"/>
      <c r="M10" s="46"/>
      <c r="N10" s="46"/>
      <c r="O10" s="46"/>
      <c r="P10" s="46"/>
      <c r="Q10" s="46"/>
      <c r="R10" s="46"/>
      <c r="S10" s="46"/>
      <c r="T10" s="46"/>
      <c r="U10" s="46"/>
      <c r="V10" s="46"/>
    </row>
    <row r="11" spans="1:22" x14ac:dyDescent="0.25">
      <c r="A11" s="46"/>
      <c r="B11" s="46"/>
      <c r="C11" s="46"/>
      <c r="D11" s="46"/>
      <c r="E11" s="46"/>
      <c r="F11" s="46"/>
      <c r="G11" s="46"/>
      <c r="H11" s="46"/>
      <c r="I11" s="46"/>
      <c r="J11" s="46"/>
      <c r="K11" s="46"/>
      <c r="L11" s="46"/>
      <c r="M11" s="46"/>
      <c r="N11" s="46"/>
      <c r="O11" s="46"/>
      <c r="P11" s="46"/>
      <c r="Q11" s="46"/>
      <c r="R11" s="46"/>
      <c r="S11" s="46"/>
      <c r="T11" s="46"/>
      <c r="U11" s="46"/>
      <c r="V11" s="46"/>
    </row>
    <row r="12" spans="1:22" x14ac:dyDescent="0.25">
      <c r="A12" s="46"/>
      <c r="B12" s="46"/>
      <c r="C12" s="46"/>
      <c r="D12" s="46"/>
      <c r="E12" s="46"/>
      <c r="F12" s="46"/>
      <c r="G12" s="46"/>
      <c r="H12" s="46"/>
      <c r="I12" s="46"/>
      <c r="J12" s="46"/>
      <c r="K12" s="46"/>
      <c r="L12" s="46"/>
      <c r="M12" s="46"/>
      <c r="N12" s="46"/>
      <c r="O12" s="46"/>
      <c r="P12" s="46"/>
      <c r="Q12" s="46"/>
      <c r="R12" s="46"/>
      <c r="S12" s="46"/>
      <c r="T12" s="46"/>
      <c r="U12" s="46"/>
      <c r="V12" s="46"/>
    </row>
    <row r="13" spans="1:22" x14ac:dyDescent="0.25">
      <c r="A13" s="46"/>
      <c r="B13" s="46"/>
      <c r="C13" s="46"/>
      <c r="D13" s="46"/>
      <c r="E13" s="46"/>
      <c r="F13" s="46"/>
      <c r="G13" s="46"/>
      <c r="H13" s="46"/>
      <c r="I13" s="46"/>
      <c r="J13" s="46"/>
      <c r="K13" s="46"/>
      <c r="L13" s="46"/>
      <c r="M13" s="46"/>
      <c r="N13" s="46"/>
      <c r="O13" s="46"/>
      <c r="P13" s="46"/>
      <c r="Q13" s="46"/>
      <c r="R13" s="46"/>
      <c r="S13" s="46"/>
      <c r="T13" s="46"/>
      <c r="U13" s="46"/>
      <c r="V13" s="46"/>
    </row>
    <row r="14" spans="1:22" x14ac:dyDescent="0.25">
      <c r="A14" s="46"/>
      <c r="B14" s="46"/>
      <c r="C14" s="46"/>
      <c r="D14" s="46"/>
      <c r="E14" s="46"/>
      <c r="F14" s="46"/>
      <c r="G14" s="46"/>
      <c r="H14" s="46"/>
      <c r="I14" s="46"/>
      <c r="J14" s="46"/>
      <c r="K14" s="46"/>
      <c r="L14" s="46"/>
      <c r="M14" s="46"/>
      <c r="N14" s="46"/>
      <c r="O14" s="46"/>
      <c r="P14" s="46"/>
      <c r="Q14" s="46"/>
      <c r="R14" s="46"/>
      <c r="S14" s="46"/>
      <c r="T14" s="46"/>
      <c r="U14" s="46"/>
      <c r="V14" s="46"/>
    </row>
    <row r="15" spans="1:22" x14ac:dyDescent="0.25">
      <c r="A15" s="46"/>
      <c r="B15" s="46"/>
      <c r="C15" s="46"/>
      <c r="D15" s="46"/>
      <c r="E15" s="46"/>
      <c r="F15" s="46"/>
      <c r="G15" s="46"/>
      <c r="H15" s="46"/>
      <c r="I15" s="46"/>
      <c r="J15" s="46"/>
      <c r="K15" s="46"/>
      <c r="L15" s="46"/>
      <c r="M15" s="46"/>
      <c r="N15" s="46"/>
      <c r="O15" s="46"/>
      <c r="P15" s="46"/>
      <c r="Q15" s="46"/>
      <c r="R15" s="46"/>
      <c r="S15" s="46"/>
      <c r="T15" s="46"/>
      <c r="U15" s="46"/>
      <c r="V15" s="46"/>
    </row>
    <row r="16" spans="1:22" x14ac:dyDescent="0.25">
      <c r="A16" s="46"/>
      <c r="B16" s="46"/>
      <c r="C16" s="46"/>
      <c r="D16" s="46"/>
      <c r="E16" s="46"/>
      <c r="F16" s="46"/>
      <c r="G16" s="46"/>
      <c r="H16" s="46"/>
      <c r="I16" s="46"/>
      <c r="J16" s="46"/>
      <c r="K16" s="46"/>
      <c r="L16" s="46"/>
      <c r="M16" s="46"/>
      <c r="N16" s="46"/>
      <c r="O16" s="46"/>
      <c r="P16" s="46"/>
      <c r="Q16" s="46"/>
      <c r="R16" s="46"/>
      <c r="S16" s="46"/>
      <c r="T16" s="46"/>
      <c r="U16" s="46"/>
      <c r="V16" s="46"/>
    </row>
    <row r="17" spans="1:22" x14ac:dyDescent="0.25">
      <c r="A17" s="46"/>
      <c r="B17" s="46"/>
      <c r="C17" s="46"/>
      <c r="D17" s="46"/>
      <c r="E17" s="46"/>
      <c r="F17" s="46"/>
      <c r="G17" s="46"/>
      <c r="H17" s="46"/>
      <c r="I17" s="46"/>
      <c r="J17" s="46"/>
      <c r="K17" s="46"/>
      <c r="L17" s="46"/>
      <c r="M17" s="46"/>
      <c r="N17" s="46"/>
      <c r="O17" s="46"/>
      <c r="P17" s="46"/>
      <c r="Q17" s="46"/>
      <c r="R17" s="46"/>
      <c r="S17" s="46"/>
      <c r="T17" s="46"/>
      <c r="U17" s="46"/>
      <c r="V17" s="46"/>
    </row>
    <row r="18" spans="1:22" x14ac:dyDescent="0.25">
      <c r="A18" s="46"/>
      <c r="B18" s="46"/>
      <c r="C18" s="46"/>
      <c r="D18" s="46"/>
      <c r="E18" s="46"/>
      <c r="F18" s="46"/>
      <c r="G18" s="46"/>
      <c r="H18" s="46"/>
      <c r="I18" s="46"/>
      <c r="J18" s="46"/>
      <c r="K18" s="46"/>
      <c r="L18" s="46"/>
      <c r="M18" s="46"/>
      <c r="N18" s="46"/>
      <c r="O18" s="46"/>
      <c r="P18" s="46"/>
      <c r="Q18" s="46"/>
      <c r="R18" s="46"/>
      <c r="S18" s="46"/>
      <c r="T18" s="46"/>
      <c r="U18" s="46"/>
      <c r="V18" s="46"/>
    </row>
    <row r="19" spans="1:22" x14ac:dyDescent="0.25">
      <c r="A19" s="46"/>
      <c r="B19" s="46"/>
      <c r="C19" s="46"/>
      <c r="D19" s="46"/>
      <c r="E19" s="46"/>
      <c r="F19" s="46"/>
      <c r="G19" s="46"/>
      <c r="H19" s="46"/>
      <c r="I19" s="46"/>
      <c r="J19" s="46"/>
      <c r="K19" s="46"/>
      <c r="L19" s="46"/>
      <c r="M19" s="46"/>
      <c r="N19" s="46"/>
      <c r="O19" s="46"/>
      <c r="P19" s="46"/>
      <c r="Q19" s="46"/>
      <c r="R19" s="46"/>
      <c r="S19" s="46"/>
      <c r="T19" s="46"/>
      <c r="U19" s="46"/>
      <c r="V19" s="46"/>
    </row>
    <row r="20" spans="1:22" x14ac:dyDescent="0.25">
      <c r="A20" s="46"/>
      <c r="B20" s="46"/>
      <c r="C20" s="46"/>
      <c r="D20" s="46"/>
      <c r="E20" s="46"/>
      <c r="F20" s="46"/>
      <c r="G20" s="46"/>
      <c r="H20" s="46"/>
      <c r="I20" s="46"/>
      <c r="J20" s="46"/>
      <c r="K20" s="46"/>
      <c r="L20" s="46"/>
      <c r="M20" s="46"/>
      <c r="N20" s="46"/>
      <c r="O20" s="46"/>
      <c r="P20" s="46"/>
      <c r="Q20" s="46"/>
      <c r="R20" s="46"/>
      <c r="S20" s="46"/>
      <c r="T20" s="46"/>
      <c r="U20" s="46"/>
      <c r="V20" s="46"/>
    </row>
    <row r="21" spans="1:22" x14ac:dyDescent="0.25">
      <c r="A21" s="46"/>
      <c r="B21" s="46"/>
      <c r="C21" s="46"/>
      <c r="D21" s="46"/>
      <c r="E21" s="46"/>
      <c r="F21" s="46"/>
      <c r="G21" s="46"/>
      <c r="H21" s="46"/>
      <c r="I21" s="46"/>
      <c r="J21" s="46"/>
      <c r="K21" s="46"/>
      <c r="L21" s="46"/>
      <c r="M21" s="46"/>
      <c r="N21" s="46"/>
      <c r="O21" s="46"/>
      <c r="P21" s="46"/>
      <c r="Q21" s="46"/>
      <c r="R21" s="46"/>
      <c r="S21" s="46"/>
      <c r="T21" s="46"/>
      <c r="U21" s="46"/>
      <c r="V21" s="46"/>
    </row>
    <row r="22" spans="1:22" x14ac:dyDescent="0.25">
      <c r="A22" s="46"/>
      <c r="B22" s="46"/>
      <c r="C22" s="46"/>
      <c r="D22" s="46"/>
      <c r="E22" s="46"/>
      <c r="F22" s="46"/>
      <c r="G22" s="46"/>
      <c r="H22" s="46"/>
      <c r="I22" s="46"/>
      <c r="J22" s="46"/>
      <c r="K22" s="46"/>
      <c r="L22" s="46"/>
      <c r="M22" s="46"/>
      <c r="N22" s="46"/>
      <c r="O22" s="46"/>
      <c r="P22" s="46"/>
      <c r="Q22" s="46"/>
      <c r="R22" s="46"/>
      <c r="S22" s="46"/>
      <c r="T22" s="46"/>
      <c r="U22" s="46"/>
      <c r="V22" s="46"/>
    </row>
    <row r="23" spans="1:22" x14ac:dyDescent="0.25">
      <c r="A23" s="46"/>
      <c r="B23" s="46"/>
      <c r="C23" s="46"/>
      <c r="D23" s="46"/>
      <c r="E23" s="46"/>
      <c r="F23" s="46"/>
      <c r="G23" s="46"/>
      <c r="H23" s="46"/>
      <c r="I23" s="46"/>
      <c r="J23" s="46"/>
      <c r="K23" s="46"/>
      <c r="L23" s="46"/>
      <c r="M23" s="46"/>
      <c r="N23" s="46"/>
      <c r="O23" s="46"/>
      <c r="P23" s="46"/>
      <c r="Q23" s="46"/>
      <c r="R23" s="46"/>
      <c r="S23" s="46"/>
      <c r="T23" s="46"/>
      <c r="U23" s="46"/>
      <c r="V23" s="46"/>
    </row>
    <row r="24" spans="1:22" x14ac:dyDescent="0.25">
      <c r="A24" s="46"/>
      <c r="B24" s="46"/>
      <c r="C24" s="46"/>
      <c r="D24" s="46"/>
      <c r="E24" s="46"/>
      <c r="F24" s="46"/>
      <c r="G24" s="46"/>
      <c r="H24" s="46"/>
      <c r="I24" s="46"/>
      <c r="J24" s="46"/>
      <c r="K24" s="46"/>
      <c r="L24" s="46"/>
      <c r="M24" s="46"/>
      <c r="N24" s="46"/>
      <c r="O24" s="46"/>
      <c r="P24" s="46"/>
      <c r="Q24" s="46"/>
      <c r="R24" s="46"/>
      <c r="S24" s="46"/>
      <c r="T24" s="46"/>
      <c r="U24" s="46"/>
      <c r="V24" s="46"/>
    </row>
    <row r="25" spans="1:22" x14ac:dyDescent="0.25">
      <c r="A25" s="46"/>
      <c r="B25" s="46"/>
      <c r="C25" s="46"/>
      <c r="D25" s="46"/>
      <c r="E25" s="46"/>
      <c r="F25" s="46"/>
      <c r="G25" s="46"/>
      <c r="H25" s="46"/>
      <c r="I25" s="46"/>
      <c r="J25" s="46"/>
      <c r="K25" s="46"/>
      <c r="L25" s="46"/>
      <c r="M25" s="46"/>
      <c r="N25" s="46"/>
      <c r="O25" s="46"/>
      <c r="P25" s="46"/>
      <c r="Q25" s="46"/>
      <c r="R25" s="46"/>
      <c r="S25" s="46"/>
      <c r="T25" s="46"/>
      <c r="U25" s="46"/>
      <c r="V25" s="46"/>
    </row>
    <row r="26" spans="1:22" x14ac:dyDescent="0.25">
      <c r="A26" s="46"/>
      <c r="B26" s="46"/>
      <c r="C26" s="46"/>
      <c r="D26" s="46"/>
      <c r="E26" s="46"/>
      <c r="F26" s="46"/>
      <c r="G26" s="46"/>
      <c r="H26" s="46"/>
      <c r="I26" s="46"/>
      <c r="J26" s="46"/>
      <c r="K26" s="46"/>
      <c r="L26" s="46"/>
      <c r="M26" s="46"/>
      <c r="N26" s="46"/>
      <c r="O26" s="46"/>
      <c r="P26" s="46"/>
      <c r="Q26" s="46"/>
      <c r="R26" s="46"/>
      <c r="S26" s="46"/>
      <c r="T26" s="46"/>
      <c r="U26" s="46"/>
      <c r="V26" s="46"/>
    </row>
    <row r="27" spans="1:22" x14ac:dyDescent="0.25">
      <c r="A27" s="46"/>
      <c r="B27" s="46"/>
      <c r="C27" s="46"/>
      <c r="D27" s="46"/>
      <c r="E27" s="46"/>
      <c r="F27" s="46"/>
      <c r="G27" s="46"/>
      <c r="H27" s="46"/>
      <c r="I27" s="46"/>
      <c r="J27" s="46"/>
      <c r="K27" s="46"/>
      <c r="L27" s="46"/>
      <c r="M27" s="46"/>
      <c r="N27" s="46"/>
      <c r="O27" s="46"/>
      <c r="P27" s="46"/>
      <c r="Q27" s="46"/>
      <c r="R27" s="46"/>
      <c r="S27" s="46"/>
      <c r="T27" s="46"/>
      <c r="U27" s="46"/>
      <c r="V27" s="46"/>
    </row>
    <row r="28" spans="1:22" x14ac:dyDescent="0.25">
      <c r="A28" s="46"/>
      <c r="B28" s="46"/>
      <c r="C28" s="46"/>
      <c r="D28" s="46"/>
      <c r="E28" s="46"/>
      <c r="F28" s="46"/>
      <c r="G28" s="46"/>
      <c r="H28" s="46"/>
      <c r="I28" s="46"/>
      <c r="J28" s="46"/>
      <c r="K28" s="46"/>
      <c r="L28" s="46"/>
      <c r="M28" s="46"/>
      <c r="N28" s="46"/>
      <c r="O28" s="46"/>
      <c r="P28" s="46"/>
      <c r="Q28" s="46"/>
      <c r="R28" s="46"/>
      <c r="S28" s="46"/>
      <c r="T28" s="46"/>
      <c r="U28" s="46"/>
      <c r="V28" s="46"/>
    </row>
    <row r="29" spans="1:22" x14ac:dyDescent="0.25">
      <c r="A29" s="46"/>
      <c r="B29" s="46"/>
      <c r="C29" s="46"/>
      <c r="D29" s="46"/>
      <c r="E29" s="46"/>
      <c r="F29" s="46"/>
      <c r="G29" s="46"/>
      <c r="H29" s="46"/>
      <c r="I29" s="46"/>
      <c r="J29" s="46"/>
      <c r="K29" s="46"/>
      <c r="L29" s="46"/>
      <c r="M29" s="46"/>
      <c r="N29" s="46"/>
      <c r="O29" s="46"/>
      <c r="P29" s="46"/>
      <c r="Q29" s="46"/>
      <c r="R29" s="46"/>
      <c r="S29" s="46"/>
      <c r="T29" s="46"/>
      <c r="U29" s="46"/>
      <c r="V29" s="46"/>
    </row>
    <row r="30" spans="1:22" x14ac:dyDescent="0.25">
      <c r="A30" s="46"/>
      <c r="B30" s="46"/>
      <c r="C30" s="46"/>
      <c r="D30" s="46"/>
      <c r="E30" s="46"/>
      <c r="F30" s="46"/>
      <c r="G30" s="46"/>
      <c r="H30" s="46"/>
      <c r="I30" s="46"/>
      <c r="J30" s="46"/>
      <c r="K30" s="46"/>
      <c r="L30" s="46"/>
      <c r="M30" s="46"/>
      <c r="N30" s="46"/>
      <c r="O30" s="46"/>
      <c r="P30" s="46"/>
      <c r="Q30" s="46"/>
      <c r="R30" s="46"/>
      <c r="S30" s="46"/>
      <c r="T30" s="46"/>
      <c r="U30" s="46"/>
      <c r="V30" s="46"/>
    </row>
    <row r="31" spans="1:22" x14ac:dyDescent="0.25">
      <c r="A31" s="46"/>
      <c r="B31" s="46"/>
      <c r="C31" s="46"/>
      <c r="D31" s="46"/>
      <c r="E31" s="46"/>
      <c r="F31" s="46"/>
      <c r="G31" s="46"/>
      <c r="H31" s="46"/>
      <c r="I31" s="46"/>
      <c r="J31" s="46"/>
      <c r="K31" s="46"/>
      <c r="L31" s="46"/>
      <c r="M31" s="46"/>
      <c r="N31" s="46"/>
      <c r="O31" s="46"/>
      <c r="P31" s="46"/>
      <c r="Q31" s="46"/>
      <c r="R31" s="46"/>
      <c r="S31" s="46"/>
      <c r="T31" s="46"/>
      <c r="U31" s="46"/>
      <c r="V31" s="46"/>
    </row>
    <row r="32" spans="1:22" x14ac:dyDescent="0.25">
      <c r="A32" s="46"/>
      <c r="B32" s="46"/>
      <c r="C32" s="46"/>
      <c r="D32" s="46"/>
      <c r="E32" s="46"/>
      <c r="F32" s="46"/>
      <c r="G32" s="46"/>
      <c r="H32" s="46"/>
      <c r="I32" s="46"/>
      <c r="J32" s="46"/>
      <c r="K32" s="46"/>
      <c r="L32" s="46"/>
      <c r="M32" s="46"/>
      <c r="N32" s="46"/>
      <c r="O32" s="46"/>
      <c r="P32" s="46"/>
      <c r="Q32" s="46"/>
      <c r="R32" s="46"/>
      <c r="S32" s="46"/>
      <c r="T32" s="46"/>
      <c r="U32" s="46"/>
      <c r="V32" s="46"/>
    </row>
    <row r="33" spans="1:22" x14ac:dyDescent="0.25">
      <c r="A33" s="46"/>
      <c r="B33" s="46"/>
      <c r="C33" s="46"/>
      <c r="D33" s="46"/>
      <c r="E33" s="46"/>
      <c r="F33" s="46"/>
      <c r="G33" s="46"/>
      <c r="H33" s="46"/>
      <c r="I33" s="46"/>
      <c r="J33" s="46"/>
      <c r="K33" s="46"/>
      <c r="L33" s="46"/>
      <c r="M33" s="46"/>
      <c r="N33" s="46"/>
      <c r="O33" s="46"/>
      <c r="P33" s="46"/>
      <c r="Q33" s="46"/>
      <c r="R33" s="46"/>
      <c r="S33" s="46"/>
      <c r="T33" s="46"/>
      <c r="U33" s="46"/>
      <c r="V33" s="46"/>
    </row>
    <row r="34" spans="1:22" x14ac:dyDescent="0.25">
      <c r="A34" s="46"/>
      <c r="B34" s="46"/>
      <c r="C34" s="46"/>
      <c r="D34" s="46"/>
      <c r="E34" s="46"/>
      <c r="F34" s="46"/>
      <c r="G34" s="46"/>
      <c r="H34" s="46"/>
      <c r="I34" s="46"/>
      <c r="J34" s="46"/>
      <c r="K34" s="46"/>
      <c r="L34" s="46"/>
      <c r="M34" s="46"/>
      <c r="N34" s="46"/>
      <c r="O34" s="46"/>
      <c r="P34" s="46"/>
      <c r="Q34" s="46"/>
      <c r="R34" s="46"/>
      <c r="S34" s="46"/>
      <c r="T34" s="46"/>
      <c r="U34" s="46"/>
      <c r="V34" s="46"/>
    </row>
    <row r="35" spans="1:22" x14ac:dyDescent="0.25">
      <c r="A35" s="46"/>
      <c r="B35" s="46"/>
      <c r="C35" s="46"/>
      <c r="D35" s="46"/>
      <c r="E35" s="46"/>
      <c r="F35" s="46"/>
      <c r="G35" s="46"/>
      <c r="H35" s="46"/>
      <c r="I35" s="46"/>
      <c r="J35" s="46"/>
      <c r="K35" s="46"/>
      <c r="L35" s="46"/>
      <c r="M35" s="46"/>
      <c r="N35" s="46"/>
      <c r="O35" s="46"/>
      <c r="P35" s="46"/>
      <c r="Q35" s="46"/>
      <c r="R35" s="46"/>
      <c r="S35" s="46"/>
      <c r="T35" s="46"/>
      <c r="U35" s="46"/>
      <c r="V35" s="46"/>
    </row>
    <row r="36" spans="1:22" x14ac:dyDescent="0.25">
      <c r="A36" s="46"/>
      <c r="B36" s="46"/>
      <c r="C36" s="46"/>
      <c r="D36" s="46"/>
      <c r="E36" s="46"/>
      <c r="F36" s="46"/>
      <c r="G36" s="46"/>
      <c r="H36" s="46"/>
      <c r="I36" s="46"/>
      <c r="J36" s="46"/>
      <c r="K36" s="46"/>
      <c r="L36" s="46"/>
      <c r="M36" s="46"/>
      <c r="N36" s="46"/>
      <c r="O36" s="46"/>
      <c r="P36" s="46"/>
      <c r="Q36" s="46"/>
      <c r="R36" s="46"/>
      <c r="S36" s="46"/>
      <c r="T36" s="46"/>
      <c r="U36" s="46"/>
      <c r="V36" s="46"/>
    </row>
    <row r="37" spans="1:22" x14ac:dyDescent="0.25">
      <c r="A37" s="46"/>
      <c r="B37" s="46"/>
      <c r="C37" s="46"/>
      <c r="D37" s="46"/>
      <c r="E37" s="46"/>
      <c r="F37" s="46"/>
      <c r="G37" s="46"/>
      <c r="H37" s="46"/>
      <c r="I37" s="46"/>
      <c r="J37" s="46"/>
      <c r="K37" s="46"/>
      <c r="L37" s="46"/>
      <c r="M37" s="46"/>
      <c r="N37" s="46"/>
      <c r="O37" s="46"/>
      <c r="P37" s="46"/>
      <c r="Q37" s="46"/>
      <c r="R37" s="46"/>
      <c r="S37" s="46"/>
      <c r="T37" s="46"/>
      <c r="U37" s="46"/>
      <c r="V37" s="46"/>
    </row>
    <row r="38" spans="1:22" x14ac:dyDescent="0.25">
      <c r="A38" s="46"/>
      <c r="B38" s="46"/>
      <c r="C38" s="46"/>
      <c r="D38" s="46"/>
      <c r="E38" s="46"/>
      <c r="F38" s="46"/>
      <c r="G38" s="46"/>
      <c r="H38" s="46"/>
      <c r="I38" s="46"/>
      <c r="J38" s="46"/>
      <c r="K38" s="46"/>
      <c r="L38" s="46"/>
      <c r="M38" s="46"/>
      <c r="N38" s="46"/>
      <c r="O38" s="46"/>
      <c r="P38" s="46"/>
      <c r="Q38" s="46"/>
      <c r="R38" s="46"/>
      <c r="S38" s="46"/>
      <c r="T38" s="46"/>
      <c r="U38" s="46"/>
      <c r="V38" s="46"/>
    </row>
    <row r="39" spans="1:22" x14ac:dyDescent="0.25">
      <c r="A39" s="46"/>
      <c r="B39" s="46"/>
      <c r="C39" s="46"/>
      <c r="D39" s="46"/>
      <c r="E39" s="46"/>
      <c r="F39" s="46"/>
      <c r="G39" s="46"/>
      <c r="H39" s="46"/>
      <c r="I39" s="46"/>
      <c r="J39" s="46"/>
      <c r="K39" s="46"/>
      <c r="L39" s="46"/>
      <c r="M39" s="46"/>
      <c r="N39" s="46"/>
      <c r="O39" s="46"/>
      <c r="P39" s="46"/>
      <c r="Q39" s="46"/>
      <c r="R39" s="46"/>
      <c r="S39" s="46"/>
      <c r="T39" s="46"/>
      <c r="U39" s="46"/>
      <c r="V39" s="46"/>
    </row>
  </sheetData>
  <phoneticPr fontId="2"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4" r:id="rId4" name="cmdStart">
          <controlPr defaultSize="0" autoLine="0" r:id="rId5">
            <anchor moveWithCells="1">
              <from>
                <xdr:col>6</xdr:col>
                <xdr:colOff>603250</xdr:colOff>
                <xdr:row>12</xdr:row>
                <xdr:rowOff>50800</xdr:rowOff>
              </from>
              <to>
                <xdr:col>9</xdr:col>
                <xdr:colOff>63500</xdr:colOff>
                <xdr:row>15</xdr:row>
                <xdr:rowOff>107950</xdr:rowOff>
              </to>
            </anchor>
          </controlPr>
        </control>
      </mc:Choice>
      <mc:Fallback>
        <control shapeId="1034" r:id="rId4" name="cmdStart"/>
      </mc:Fallback>
    </mc:AlternateContent>
    <mc:AlternateContent xmlns:mc="http://schemas.openxmlformats.org/markup-compatibility/2006">
      <mc:Choice Requires="x14">
        <control shapeId="1035" r:id="rId6" name="cmdQuit">
          <controlPr defaultSize="0" autoLine="0" r:id="rId7">
            <anchor moveWithCells="1">
              <from>
                <xdr:col>7</xdr:col>
                <xdr:colOff>222250</xdr:colOff>
                <xdr:row>16</xdr:row>
                <xdr:rowOff>0</xdr:rowOff>
              </from>
              <to>
                <xdr:col>8</xdr:col>
                <xdr:colOff>469900</xdr:colOff>
                <xdr:row>18</xdr:row>
                <xdr:rowOff>12700</xdr:rowOff>
              </to>
            </anchor>
          </controlPr>
        </control>
      </mc:Choice>
      <mc:Fallback>
        <control shapeId="1035" r:id="rId6" name="cmdQu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N32"/>
  <sheetViews>
    <sheetView topLeftCell="A2" workbookViewId="0">
      <selection activeCell="E25" sqref="E25"/>
    </sheetView>
  </sheetViews>
  <sheetFormatPr defaultColWidth="9.1796875" defaultRowHeight="12.5" x14ac:dyDescent="0.25"/>
  <cols>
    <col min="1" max="1" width="23" style="1" customWidth="1"/>
    <col min="2" max="5" width="9.453125" style="1" customWidth="1"/>
    <col min="6" max="6" width="1.54296875" style="1" customWidth="1"/>
    <col min="7" max="7" width="14.7265625" style="21" customWidth="1"/>
    <col min="8" max="8" width="7.26953125" style="21" bestFit="1" customWidth="1"/>
    <col min="9" max="9" width="6.7265625" style="21" bestFit="1" customWidth="1"/>
    <col min="10" max="10" width="8" style="21" bestFit="1" customWidth="1"/>
    <col min="11" max="11" width="7.453125" style="21" bestFit="1" customWidth="1"/>
    <col min="12" max="14" width="8.7265625" style="1" customWidth="1"/>
    <col min="15" max="16384" width="9.1796875" style="1"/>
  </cols>
  <sheetData>
    <row r="1" spans="1:14" ht="18" x14ac:dyDescent="0.4">
      <c r="A1" s="13"/>
      <c r="M1" s="1" t="s">
        <v>43</v>
      </c>
      <c r="N1" s="1">
        <v>1</v>
      </c>
    </row>
    <row r="2" spans="1:14" ht="13.5" thickBot="1" x14ac:dyDescent="0.35">
      <c r="A2" s="45" t="s">
        <v>41</v>
      </c>
      <c r="B2" s="43"/>
      <c r="C2" s="43"/>
      <c r="D2" s="43"/>
      <c r="E2" s="43"/>
      <c r="F2" s="43"/>
      <c r="G2" s="44"/>
      <c r="H2" s="44"/>
      <c r="I2" s="44"/>
      <c r="J2" s="44"/>
      <c r="K2" s="44"/>
    </row>
    <row r="3" spans="1:14" ht="13" thickTop="1" x14ac:dyDescent="0.25"/>
    <row r="4" spans="1:14" ht="13.5" thickBot="1" x14ac:dyDescent="0.35">
      <c r="A4" s="14" t="s">
        <v>11</v>
      </c>
      <c r="G4" s="22" t="s">
        <v>18</v>
      </c>
    </row>
    <row r="5" spans="1:14" x14ac:dyDescent="0.25">
      <c r="A5" s="5" t="s">
        <v>6</v>
      </c>
      <c r="B5" s="18" t="s">
        <v>3</v>
      </c>
      <c r="C5" s="17" t="s">
        <v>35</v>
      </c>
      <c r="D5" s="19" t="s">
        <v>12</v>
      </c>
      <c r="E5" s="20" t="s">
        <v>13</v>
      </c>
      <c r="G5" s="23" t="s">
        <v>2</v>
      </c>
      <c r="H5" s="24" t="s">
        <v>19</v>
      </c>
      <c r="I5" s="25" t="s">
        <v>29</v>
      </c>
      <c r="J5" s="25" t="s">
        <v>21</v>
      </c>
      <c r="K5" s="26" t="s">
        <v>10</v>
      </c>
    </row>
    <row r="6" spans="1:14" x14ac:dyDescent="0.25">
      <c r="A6" s="9" t="s">
        <v>30</v>
      </c>
      <c r="B6" s="56">
        <v>0</v>
      </c>
      <c r="C6" s="56">
        <v>0</v>
      </c>
      <c r="D6" s="56">
        <v>0</v>
      </c>
      <c r="E6" s="56">
        <v>0</v>
      </c>
      <c r="G6" s="27" t="s">
        <v>27</v>
      </c>
      <c r="H6" s="28">
        <v>0</v>
      </c>
      <c r="I6" s="57">
        <f>SUMPRODUCT($B$6:$E$6,H21:K21)</f>
        <v>0</v>
      </c>
      <c r="J6" s="47">
        <f t="shared" ref="J6:J17" si="0">H6-I6</f>
        <v>0</v>
      </c>
      <c r="K6" s="29">
        <v>0</v>
      </c>
    </row>
    <row r="7" spans="1:14" x14ac:dyDescent="0.25">
      <c r="A7" s="16" t="s">
        <v>8</v>
      </c>
      <c r="B7" s="49">
        <f>SUMPRODUCT($K$6:$K$17,H21:H32)</f>
        <v>0</v>
      </c>
      <c r="C7" s="49">
        <f>SUMPRODUCT($K$6:$K$17,I21:I32)</f>
        <v>0</v>
      </c>
      <c r="D7" s="49">
        <f>SUMPRODUCT($K$6:$K$17,J21:J32)</f>
        <v>0</v>
      </c>
      <c r="E7" s="49">
        <f>SUMPRODUCT($K$6:$K$17,K21:K32)</f>
        <v>0</v>
      </c>
      <c r="G7" s="27" t="s">
        <v>28</v>
      </c>
      <c r="H7" s="28">
        <v>0</v>
      </c>
      <c r="I7" s="57">
        <f t="shared" ref="I7:I17" si="1">SUMPRODUCT($B$6:$E$6,H22:K22)</f>
        <v>0</v>
      </c>
      <c r="J7" s="47">
        <f t="shared" si="0"/>
        <v>0</v>
      </c>
      <c r="K7" s="29">
        <v>0</v>
      </c>
    </row>
    <row r="8" spans="1:14" x14ac:dyDescent="0.25">
      <c r="A8" s="16" t="s">
        <v>9</v>
      </c>
      <c r="B8" s="49">
        <v>0</v>
      </c>
      <c r="C8" s="49">
        <v>0</v>
      </c>
      <c r="D8" s="49">
        <v>0</v>
      </c>
      <c r="E8" s="49">
        <v>0</v>
      </c>
      <c r="G8" s="27" t="s">
        <v>23</v>
      </c>
      <c r="H8" s="28">
        <v>0</v>
      </c>
      <c r="I8" s="57">
        <f t="shared" si="1"/>
        <v>0</v>
      </c>
      <c r="J8" s="47">
        <f t="shared" si="0"/>
        <v>0</v>
      </c>
      <c r="K8" s="29">
        <v>0</v>
      </c>
    </row>
    <row r="9" spans="1:14" ht="13" thickBot="1" x14ac:dyDescent="0.3">
      <c r="A9" s="15" t="s">
        <v>33</v>
      </c>
      <c r="B9" s="50">
        <f>SUM(B7:B8)</f>
        <v>0</v>
      </c>
      <c r="C9" s="50">
        <f>SUM(C7:C8)</f>
        <v>0</v>
      </c>
      <c r="D9" s="50">
        <f>SUM(D7:D8)</f>
        <v>0</v>
      </c>
      <c r="E9" s="50">
        <f>SUM(E7:E8)</f>
        <v>0</v>
      </c>
      <c r="G9" s="27" t="s">
        <v>22</v>
      </c>
      <c r="H9" s="28">
        <v>0</v>
      </c>
      <c r="I9" s="57">
        <f t="shared" si="1"/>
        <v>0</v>
      </c>
      <c r="J9" s="47">
        <f t="shared" si="0"/>
        <v>0</v>
      </c>
      <c r="K9" s="29">
        <v>0</v>
      </c>
    </row>
    <row r="10" spans="1:14" ht="13.5" thickTop="1" x14ac:dyDescent="0.3">
      <c r="A10" s="7" t="s">
        <v>20</v>
      </c>
      <c r="B10" s="81">
        <f>SUMPRODUCT(B6:E6,B9:E9)</f>
        <v>0</v>
      </c>
      <c r="C10" s="81"/>
      <c r="D10" s="51"/>
      <c r="E10" s="51"/>
      <c r="G10" s="27" t="s">
        <v>4</v>
      </c>
      <c r="H10" s="28">
        <v>0</v>
      </c>
      <c r="I10" s="57">
        <f t="shared" si="1"/>
        <v>0</v>
      </c>
      <c r="J10" s="47">
        <f t="shared" si="0"/>
        <v>0</v>
      </c>
      <c r="K10" s="29">
        <v>0</v>
      </c>
    </row>
    <row r="11" spans="1:14" ht="13" x14ac:dyDescent="0.3">
      <c r="B11" s="52"/>
      <c r="C11" s="53"/>
      <c r="D11" s="53"/>
      <c r="E11" s="53"/>
      <c r="G11" s="27" t="s">
        <v>34</v>
      </c>
      <c r="H11" s="28">
        <v>0</v>
      </c>
      <c r="I11" s="57">
        <f t="shared" si="1"/>
        <v>0</v>
      </c>
      <c r="J11" s="47">
        <f t="shared" si="0"/>
        <v>0</v>
      </c>
      <c r="K11" s="29">
        <v>0</v>
      </c>
    </row>
    <row r="12" spans="1:14" x14ac:dyDescent="0.25">
      <c r="A12" s="5" t="s">
        <v>5</v>
      </c>
      <c r="B12" s="18" t="s">
        <v>3</v>
      </c>
      <c r="C12" s="17" t="s">
        <v>35</v>
      </c>
      <c r="D12" s="19" t="s">
        <v>12</v>
      </c>
      <c r="E12" s="20" t="s">
        <v>13</v>
      </c>
      <c r="G12" s="27" t="s">
        <v>38</v>
      </c>
      <c r="H12" s="28">
        <v>0</v>
      </c>
      <c r="I12" s="57">
        <f t="shared" si="1"/>
        <v>0</v>
      </c>
      <c r="J12" s="47">
        <f t="shared" si="0"/>
        <v>0</v>
      </c>
      <c r="K12" s="29">
        <v>0</v>
      </c>
    </row>
    <row r="13" spans="1:14" x14ac:dyDescent="0.25">
      <c r="A13" s="9" t="s">
        <v>31</v>
      </c>
      <c r="B13" s="56">
        <f>B6</f>
        <v>0</v>
      </c>
      <c r="C13" s="56">
        <f>C6</f>
        <v>0</v>
      </c>
      <c r="D13" s="56">
        <f>D6</f>
        <v>0</v>
      </c>
      <c r="E13" s="56">
        <f>E6</f>
        <v>0</v>
      </c>
      <c r="G13" s="27" t="s">
        <v>39</v>
      </c>
      <c r="H13" s="28">
        <v>0</v>
      </c>
      <c r="I13" s="57">
        <f t="shared" si="1"/>
        <v>0</v>
      </c>
      <c r="J13" s="47">
        <f t="shared" si="0"/>
        <v>0</v>
      </c>
      <c r="K13" s="29">
        <v>0</v>
      </c>
    </row>
    <row r="14" spans="1:14" ht="13" thickBot="1" x14ac:dyDescent="0.3">
      <c r="A14" s="15" t="s">
        <v>32</v>
      </c>
      <c r="B14" s="50">
        <v>0</v>
      </c>
      <c r="C14" s="50">
        <v>0</v>
      </c>
      <c r="D14" s="50">
        <v>0</v>
      </c>
      <c r="E14" s="50">
        <v>0</v>
      </c>
      <c r="G14" s="27" t="s">
        <v>24</v>
      </c>
      <c r="H14" s="28">
        <v>0</v>
      </c>
      <c r="I14" s="57">
        <f t="shared" si="1"/>
        <v>0</v>
      </c>
      <c r="J14" s="47">
        <f t="shared" si="0"/>
        <v>0</v>
      </c>
      <c r="K14" s="29">
        <v>0</v>
      </c>
    </row>
    <row r="15" spans="1:14" ht="13.5" thickTop="1" x14ac:dyDescent="0.3">
      <c r="A15" s="6" t="s">
        <v>0</v>
      </c>
      <c r="B15" s="84">
        <f>SUMPRODUCT(B13:E13,B14:E14)</f>
        <v>0</v>
      </c>
      <c r="C15" s="85"/>
      <c r="D15" s="53"/>
      <c r="E15" s="53"/>
      <c r="G15" s="27" t="s">
        <v>25</v>
      </c>
      <c r="H15" s="28">
        <v>0</v>
      </c>
      <c r="I15" s="57">
        <f t="shared" si="1"/>
        <v>0</v>
      </c>
      <c r="J15" s="47">
        <f t="shared" si="0"/>
        <v>0</v>
      </c>
      <c r="K15" s="29">
        <v>0</v>
      </c>
    </row>
    <row r="16" spans="1:14" x14ac:dyDescent="0.25">
      <c r="B16" s="53"/>
      <c r="C16" s="53"/>
      <c r="D16" s="53"/>
      <c r="E16" s="53"/>
      <c r="G16" s="27" t="s">
        <v>26</v>
      </c>
      <c r="H16" s="28">
        <v>0</v>
      </c>
      <c r="I16" s="57">
        <f t="shared" si="1"/>
        <v>0</v>
      </c>
      <c r="J16" s="47">
        <f t="shared" si="0"/>
        <v>0</v>
      </c>
      <c r="K16" s="29">
        <v>0</v>
      </c>
    </row>
    <row r="17" spans="1:11" ht="13.5" thickBot="1" x14ac:dyDescent="0.35">
      <c r="A17" s="14" t="s">
        <v>14</v>
      </c>
      <c r="B17" s="53"/>
      <c r="C17" s="53"/>
      <c r="D17" s="53"/>
      <c r="E17" s="53"/>
      <c r="G17" s="30" t="s">
        <v>7</v>
      </c>
      <c r="H17" s="31">
        <v>0</v>
      </c>
      <c r="I17" s="72">
        <f t="shared" si="1"/>
        <v>0</v>
      </c>
      <c r="J17" s="48">
        <f t="shared" si="0"/>
        <v>0</v>
      </c>
      <c r="K17" s="32">
        <v>0</v>
      </c>
    </row>
    <row r="18" spans="1:11" x14ac:dyDescent="0.25">
      <c r="A18" s="10" t="s">
        <v>0</v>
      </c>
      <c r="B18" s="86">
        <f>B15</f>
        <v>0</v>
      </c>
      <c r="C18" s="87"/>
      <c r="D18" s="53"/>
      <c r="E18" s="53"/>
    </row>
    <row r="19" spans="1:11" ht="13" thickBot="1" x14ac:dyDescent="0.3">
      <c r="A19" s="11" t="s">
        <v>20</v>
      </c>
      <c r="B19" s="88">
        <f>B10</f>
        <v>0</v>
      </c>
      <c r="C19" s="89"/>
      <c r="D19" s="53"/>
      <c r="E19" s="53"/>
      <c r="G19" s="22" t="s">
        <v>42</v>
      </c>
    </row>
    <row r="20" spans="1:11" ht="13" thickBot="1" x14ac:dyDescent="0.3">
      <c r="A20" s="12" t="s">
        <v>40</v>
      </c>
      <c r="B20" s="90">
        <v>0</v>
      </c>
      <c r="C20" s="91"/>
      <c r="D20" s="53"/>
      <c r="E20" s="53"/>
      <c r="G20" s="23" t="s">
        <v>2</v>
      </c>
      <c r="H20" s="33" t="s">
        <v>3</v>
      </c>
      <c r="I20" s="34" t="s">
        <v>35</v>
      </c>
      <c r="J20" s="35" t="s">
        <v>12</v>
      </c>
      <c r="K20" s="36" t="s">
        <v>13</v>
      </c>
    </row>
    <row r="21" spans="1:11" ht="14" thickTop="1" thickBot="1" x14ac:dyDescent="0.35">
      <c r="A21" s="8" t="s">
        <v>1</v>
      </c>
      <c r="B21" s="82">
        <f>B18-SUM(B19:B20)</f>
        <v>0</v>
      </c>
      <c r="C21" s="83"/>
      <c r="D21" s="53"/>
      <c r="E21" s="53"/>
      <c r="G21" s="27" t="s">
        <v>27</v>
      </c>
      <c r="H21" s="37">
        <v>0</v>
      </c>
      <c r="I21" s="38">
        <v>0</v>
      </c>
      <c r="J21" s="38">
        <v>0</v>
      </c>
      <c r="K21" s="39">
        <v>0</v>
      </c>
    </row>
    <row r="22" spans="1:11" x14ac:dyDescent="0.25">
      <c r="G22" s="27" t="s">
        <v>28</v>
      </c>
      <c r="H22" s="37">
        <v>0</v>
      </c>
      <c r="I22" s="38">
        <v>0</v>
      </c>
      <c r="J22" s="38">
        <v>0</v>
      </c>
      <c r="K22" s="39">
        <v>0</v>
      </c>
    </row>
    <row r="23" spans="1:11" x14ac:dyDescent="0.25">
      <c r="G23" s="27" t="s">
        <v>23</v>
      </c>
      <c r="H23" s="37">
        <v>0</v>
      </c>
      <c r="I23" s="38">
        <v>0</v>
      </c>
      <c r="J23" s="38">
        <v>0</v>
      </c>
      <c r="K23" s="39">
        <v>0</v>
      </c>
    </row>
    <row r="24" spans="1:11" x14ac:dyDescent="0.25">
      <c r="G24" s="27" t="s">
        <v>22</v>
      </c>
      <c r="H24" s="37">
        <v>0</v>
      </c>
      <c r="I24" s="38">
        <v>0</v>
      </c>
      <c r="J24" s="38">
        <v>0</v>
      </c>
      <c r="K24" s="39">
        <v>0</v>
      </c>
    </row>
    <row r="25" spans="1:11" x14ac:dyDescent="0.25">
      <c r="G25" s="27" t="s">
        <v>4</v>
      </c>
      <c r="H25" s="37">
        <v>0</v>
      </c>
      <c r="I25" s="38">
        <v>0</v>
      </c>
      <c r="J25" s="38">
        <v>0</v>
      </c>
      <c r="K25" s="39">
        <v>0</v>
      </c>
    </row>
    <row r="26" spans="1:11" x14ac:dyDescent="0.25">
      <c r="G26" s="27" t="s">
        <v>34</v>
      </c>
      <c r="H26" s="37">
        <v>0</v>
      </c>
      <c r="I26" s="38">
        <v>0</v>
      </c>
      <c r="J26" s="38">
        <v>0</v>
      </c>
      <c r="K26" s="39">
        <v>0</v>
      </c>
    </row>
    <row r="27" spans="1:11" x14ac:dyDescent="0.25">
      <c r="G27" s="27" t="s">
        <v>38</v>
      </c>
      <c r="H27" s="37">
        <v>0</v>
      </c>
      <c r="I27" s="38">
        <v>0</v>
      </c>
      <c r="J27" s="38">
        <v>0</v>
      </c>
      <c r="K27" s="39">
        <v>0</v>
      </c>
    </row>
    <row r="28" spans="1:11" x14ac:dyDescent="0.25">
      <c r="G28" s="27" t="s">
        <v>39</v>
      </c>
      <c r="H28" s="37">
        <v>0</v>
      </c>
      <c r="I28" s="38">
        <v>0</v>
      </c>
      <c r="J28" s="38">
        <v>0</v>
      </c>
      <c r="K28" s="39">
        <v>0</v>
      </c>
    </row>
    <row r="29" spans="1:11" x14ac:dyDescent="0.25">
      <c r="G29" s="27" t="s">
        <v>24</v>
      </c>
      <c r="H29" s="37">
        <v>0</v>
      </c>
      <c r="I29" s="38">
        <v>0</v>
      </c>
      <c r="J29" s="38">
        <v>0</v>
      </c>
      <c r="K29" s="39">
        <v>0</v>
      </c>
    </row>
    <row r="30" spans="1:11" ht="13" x14ac:dyDescent="0.3">
      <c r="A30" s="54" t="s">
        <v>44</v>
      </c>
      <c r="B30" s="55">
        <v>125</v>
      </c>
      <c r="C30" s="55">
        <v>100</v>
      </c>
      <c r="D30" s="55">
        <v>100</v>
      </c>
      <c r="E30" s="55">
        <v>75</v>
      </c>
      <c r="G30" s="27" t="s">
        <v>25</v>
      </c>
      <c r="H30" s="37">
        <v>0</v>
      </c>
      <c r="I30" s="38">
        <v>0</v>
      </c>
      <c r="J30" s="38">
        <v>0</v>
      </c>
      <c r="K30" s="39">
        <v>0</v>
      </c>
    </row>
    <row r="31" spans="1:11" x14ac:dyDescent="0.25">
      <c r="G31" s="27" t="s">
        <v>26</v>
      </c>
      <c r="H31" s="37">
        <v>0</v>
      </c>
      <c r="I31" s="38">
        <v>0</v>
      </c>
      <c r="J31" s="38">
        <v>0</v>
      </c>
      <c r="K31" s="39">
        <v>0</v>
      </c>
    </row>
    <row r="32" spans="1:11" ht="13" thickBot="1" x14ac:dyDescent="0.3">
      <c r="B32" s="71" t="s">
        <v>73</v>
      </c>
      <c r="G32" s="30" t="s">
        <v>7</v>
      </c>
      <c r="H32" s="40">
        <v>0</v>
      </c>
      <c r="I32" s="41">
        <v>0</v>
      </c>
      <c r="J32" s="41">
        <v>0</v>
      </c>
      <c r="K32" s="42">
        <v>0</v>
      </c>
    </row>
  </sheetData>
  <sheetProtection selectLockedCells="1" selectUnlockedCells="1"/>
  <mergeCells count="6">
    <mergeCell ref="B10:C10"/>
    <mergeCell ref="B21:C21"/>
    <mergeCell ref="B15:C15"/>
    <mergeCell ref="B18:C18"/>
    <mergeCell ref="B19:C19"/>
    <mergeCell ref="B20:C20"/>
  </mergeCells>
  <phoneticPr fontId="2" type="noConversion"/>
  <conditionalFormatting sqref="B13:E13 B21:C21 B6:E6 I6:J17">
    <cfRule type="cellIs" dxfId="0" priority="1" stopIfTrue="1" operator="lessThan">
      <formula>0</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049" r:id="rId4" name="cmdSolver">
          <controlPr defaultSize="0" autoLine="0" r:id="rId5">
            <anchor moveWithCells="1">
              <from>
                <xdr:col>0</xdr:col>
                <xdr:colOff>527050</xdr:colOff>
                <xdr:row>24</xdr:row>
                <xdr:rowOff>0</xdr:rowOff>
              </from>
              <to>
                <xdr:col>1</xdr:col>
                <xdr:colOff>425450</xdr:colOff>
                <xdr:row>27</xdr:row>
                <xdr:rowOff>146050</xdr:rowOff>
              </to>
            </anchor>
          </controlPr>
        </control>
      </mc:Choice>
      <mc:Fallback>
        <control shapeId="2049" r:id="rId4" name="cmdSolver"/>
      </mc:Fallback>
    </mc:AlternateContent>
    <mc:AlternateContent xmlns:mc="http://schemas.openxmlformats.org/markup-compatibility/2006">
      <mc:Choice Requires="x14">
        <control shapeId="2050" r:id="rId6" name="cmdReturn">
          <controlPr defaultSize="0" autoLine="0" r:id="rId7">
            <anchor moveWithCells="1">
              <from>
                <xdr:col>2</xdr:col>
                <xdr:colOff>209550</xdr:colOff>
                <xdr:row>25</xdr:row>
                <xdr:rowOff>19050</xdr:rowOff>
              </from>
              <to>
                <xdr:col>3</xdr:col>
                <xdr:colOff>273050</xdr:colOff>
                <xdr:row>27</xdr:row>
                <xdr:rowOff>6350</xdr:rowOff>
              </to>
            </anchor>
          </controlPr>
        </control>
      </mc:Choice>
      <mc:Fallback>
        <control shapeId="2050" r:id="rId6" name="cmdRetur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sheetPr>
  <dimension ref="A1:G44"/>
  <sheetViews>
    <sheetView workbookViewId="0">
      <selection activeCell="G14" sqref="G14"/>
    </sheetView>
  </sheetViews>
  <sheetFormatPr defaultColWidth="9.1796875" defaultRowHeight="14.5" x14ac:dyDescent="0.25"/>
  <cols>
    <col min="1" max="1" width="11.54296875" style="68" customWidth="1"/>
    <col min="2" max="2" width="8.7265625" style="68" customWidth="1"/>
    <col min="3" max="3" width="9.54296875" style="68" customWidth="1"/>
    <col min="4" max="4" width="7.7265625" style="68" customWidth="1"/>
    <col min="5" max="5" width="7.26953125" style="69" customWidth="1"/>
    <col min="6" max="6" width="10.54296875" style="70" customWidth="1"/>
    <col min="7" max="7" width="9.26953125" style="68" customWidth="1"/>
    <col min="8" max="16384" width="9.1796875" style="62"/>
  </cols>
  <sheetData>
    <row r="1" spans="1:7" x14ac:dyDescent="0.25">
      <c r="A1" s="58" t="s">
        <v>45</v>
      </c>
      <c r="B1" s="59" t="s">
        <v>46</v>
      </c>
      <c r="C1" s="59" t="s">
        <v>47</v>
      </c>
      <c r="D1" s="60" t="s">
        <v>48</v>
      </c>
      <c r="E1" s="61" t="s">
        <v>49</v>
      </c>
      <c r="F1" s="60" t="s">
        <v>50</v>
      </c>
      <c r="G1" s="60" t="s">
        <v>51</v>
      </c>
    </row>
    <row r="2" spans="1:7" x14ac:dyDescent="0.25">
      <c r="A2" s="63">
        <v>42010</v>
      </c>
      <c r="B2" s="64" t="s">
        <v>52</v>
      </c>
      <c r="C2" s="64" t="s">
        <v>53</v>
      </c>
      <c r="D2" s="60" t="s">
        <v>54</v>
      </c>
      <c r="E2" s="65">
        <v>95</v>
      </c>
      <c r="F2" s="66">
        <v>1.99</v>
      </c>
      <c r="G2" s="67">
        <f t="shared" ref="G2:G44" si="0">F2*E2</f>
        <v>189.05</v>
      </c>
    </row>
    <row r="3" spans="1:7" x14ac:dyDescent="0.25">
      <c r="A3" s="63">
        <v>42027</v>
      </c>
      <c r="B3" s="64" t="s">
        <v>55</v>
      </c>
      <c r="C3" s="64" t="s">
        <v>56</v>
      </c>
      <c r="D3" s="60" t="s">
        <v>57</v>
      </c>
      <c r="E3" s="65">
        <v>50</v>
      </c>
      <c r="F3" s="66">
        <v>19.989999999999998</v>
      </c>
      <c r="G3" s="67">
        <f t="shared" si="0"/>
        <v>999.49999999999989</v>
      </c>
    </row>
    <row r="4" spans="1:7" x14ac:dyDescent="0.25">
      <c r="A4" s="63">
        <v>42044</v>
      </c>
      <c r="B4" s="64" t="s">
        <v>55</v>
      </c>
      <c r="C4" s="64" t="s">
        <v>58</v>
      </c>
      <c r="D4" s="60" t="s">
        <v>54</v>
      </c>
      <c r="E4" s="65">
        <v>36</v>
      </c>
      <c r="F4" s="66">
        <v>4.99</v>
      </c>
      <c r="G4" s="67">
        <f t="shared" si="0"/>
        <v>179.64000000000001</v>
      </c>
    </row>
    <row r="5" spans="1:7" x14ac:dyDescent="0.25">
      <c r="A5" s="63">
        <v>42061</v>
      </c>
      <c r="B5" s="64" t="s">
        <v>55</v>
      </c>
      <c r="C5" s="64" t="s">
        <v>59</v>
      </c>
      <c r="D5" s="60" t="s">
        <v>60</v>
      </c>
      <c r="E5" s="65">
        <v>27</v>
      </c>
      <c r="F5" s="66">
        <v>19.989999999999998</v>
      </c>
      <c r="G5" s="67">
        <f t="shared" si="0"/>
        <v>539.7299999999999</v>
      </c>
    </row>
    <row r="6" spans="1:7" x14ac:dyDescent="0.25">
      <c r="A6" s="63">
        <v>42078</v>
      </c>
      <c r="B6" s="64" t="s">
        <v>61</v>
      </c>
      <c r="C6" s="64" t="s">
        <v>62</v>
      </c>
      <c r="D6" s="60" t="s">
        <v>54</v>
      </c>
      <c r="E6" s="65">
        <v>56</v>
      </c>
      <c r="F6" s="66">
        <v>2.99</v>
      </c>
      <c r="G6" s="67">
        <f t="shared" si="0"/>
        <v>167.44</v>
      </c>
    </row>
    <row r="7" spans="1:7" x14ac:dyDescent="0.25">
      <c r="A7" s="63">
        <v>42095</v>
      </c>
      <c r="B7" s="64" t="s">
        <v>52</v>
      </c>
      <c r="C7" s="64" t="s">
        <v>53</v>
      </c>
      <c r="D7" s="60" t="s">
        <v>57</v>
      </c>
      <c r="E7" s="65">
        <v>60</v>
      </c>
      <c r="F7" s="66">
        <v>4.99</v>
      </c>
      <c r="G7" s="67">
        <f t="shared" si="0"/>
        <v>299.40000000000003</v>
      </c>
    </row>
    <row r="8" spans="1:7" x14ac:dyDescent="0.25">
      <c r="A8" s="63">
        <v>42112</v>
      </c>
      <c r="B8" s="64" t="s">
        <v>55</v>
      </c>
      <c r="C8" s="64" t="s">
        <v>63</v>
      </c>
      <c r="D8" s="60" t="s">
        <v>54</v>
      </c>
      <c r="E8" s="65">
        <v>75</v>
      </c>
      <c r="F8" s="66">
        <v>1.99</v>
      </c>
      <c r="G8" s="67">
        <f t="shared" si="0"/>
        <v>149.25</v>
      </c>
    </row>
    <row r="9" spans="1:7" x14ac:dyDescent="0.25">
      <c r="A9" s="63">
        <v>42129</v>
      </c>
      <c r="B9" s="64" t="s">
        <v>55</v>
      </c>
      <c r="C9" s="64" t="s">
        <v>58</v>
      </c>
      <c r="D9" s="60" t="s">
        <v>54</v>
      </c>
      <c r="E9" s="65">
        <v>90</v>
      </c>
      <c r="F9" s="66">
        <v>4.99</v>
      </c>
      <c r="G9" s="67">
        <f t="shared" si="0"/>
        <v>449.1</v>
      </c>
    </row>
    <row r="10" spans="1:7" x14ac:dyDescent="0.25">
      <c r="A10" s="63">
        <v>42146</v>
      </c>
      <c r="B10" s="64" t="s">
        <v>61</v>
      </c>
      <c r="C10" s="64" t="s">
        <v>64</v>
      </c>
      <c r="D10" s="60" t="s">
        <v>54</v>
      </c>
      <c r="E10" s="65">
        <v>32</v>
      </c>
      <c r="F10" s="66">
        <v>1.99</v>
      </c>
      <c r="G10" s="67">
        <f t="shared" si="0"/>
        <v>63.68</v>
      </c>
    </row>
    <row r="11" spans="1:7" x14ac:dyDescent="0.25">
      <c r="A11" s="63">
        <v>42163</v>
      </c>
      <c r="B11" s="64" t="s">
        <v>52</v>
      </c>
      <c r="C11" s="64" t="s">
        <v>53</v>
      </c>
      <c r="D11" s="60" t="s">
        <v>57</v>
      </c>
      <c r="E11" s="65">
        <v>60</v>
      </c>
      <c r="F11" s="66">
        <v>8.99</v>
      </c>
      <c r="G11" s="67">
        <f t="shared" si="0"/>
        <v>539.4</v>
      </c>
    </row>
    <row r="12" spans="1:7" x14ac:dyDescent="0.25">
      <c r="A12" s="63">
        <v>42180</v>
      </c>
      <c r="B12" s="64" t="s">
        <v>55</v>
      </c>
      <c r="C12" s="64" t="s">
        <v>65</v>
      </c>
      <c r="D12" s="60" t="s">
        <v>54</v>
      </c>
      <c r="E12" s="65">
        <v>90</v>
      </c>
      <c r="F12" s="66">
        <v>4.99</v>
      </c>
      <c r="G12" s="67">
        <f t="shared" si="0"/>
        <v>449.1</v>
      </c>
    </row>
    <row r="13" spans="1:7" x14ac:dyDescent="0.25">
      <c r="A13" s="63">
        <v>42197</v>
      </c>
      <c r="B13" s="64" t="s">
        <v>52</v>
      </c>
      <c r="C13" s="64" t="s">
        <v>66</v>
      </c>
      <c r="D13" s="60" t="s">
        <v>57</v>
      </c>
      <c r="E13" s="65">
        <v>29</v>
      </c>
      <c r="F13" s="66">
        <v>1.99</v>
      </c>
      <c r="G13" s="67">
        <f t="shared" si="0"/>
        <v>57.71</v>
      </c>
    </row>
    <row r="14" spans="1:7" x14ac:dyDescent="0.25">
      <c r="A14" s="63">
        <v>42214</v>
      </c>
      <c r="B14" s="64" t="s">
        <v>52</v>
      </c>
      <c r="C14" s="64" t="s">
        <v>67</v>
      </c>
      <c r="D14" s="60" t="s">
        <v>57</v>
      </c>
      <c r="E14" s="65">
        <v>81</v>
      </c>
      <c r="F14" s="66">
        <v>19.989999999999998</v>
      </c>
      <c r="G14" s="67">
        <f t="shared" si="0"/>
        <v>1619.1899999999998</v>
      </c>
    </row>
    <row r="15" spans="1:7" x14ac:dyDescent="0.25">
      <c r="A15" s="63">
        <v>42231</v>
      </c>
      <c r="B15" s="64" t="s">
        <v>52</v>
      </c>
      <c r="C15" s="64" t="s">
        <v>53</v>
      </c>
      <c r="D15" s="60" t="s">
        <v>54</v>
      </c>
      <c r="E15" s="65">
        <v>35</v>
      </c>
      <c r="F15" s="66">
        <v>4.99</v>
      </c>
      <c r="G15" s="67">
        <f t="shared" si="0"/>
        <v>174.65</v>
      </c>
    </row>
    <row r="16" spans="1:7" x14ac:dyDescent="0.25">
      <c r="A16" s="63">
        <v>42248</v>
      </c>
      <c r="B16" s="64" t="s">
        <v>55</v>
      </c>
      <c r="C16" s="64" t="s">
        <v>68</v>
      </c>
      <c r="D16" s="60" t="s">
        <v>69</v>
      </c>
      <c r="E16" s="65">
        <v>2</v>
      </c>
      <c r="F16" s="66">
        <v>125</v>
      </c>
      <c r="G16" s="67">
        <f t="shared" si="0"/>
        <v>250</v>
      </c>
    </row>
    <row r="17" spans="1:7" x14ac:dyDescent="0.25">
      <c r="A17" s="63">
        <v>42265</v>
      </c>
      <c r="B17" s="64" t="s">
        <v>52</v>
      </c>
      <c r="C17" s="64" t="s">
        <v>53</v>
      </c>
      <c r="D17" s="60" t="s">
        <v>70</v>
      </c>
      <c r="E17" s="65">
        <v>16</v>
      </c>
      <c r="F17" s="66">
        <v>15.99</v>
      </c>
      <c r="G17" s="67">
        <f t="shared" si="0"/>
        <v>255.84</v>
      </c>
    </row>
    <row r="18" spans="1:7" x14ac:dyDescent="0.25">
      <c r="A18" s="63">
        <v>42282</v>
      </c>
      <c r="B18" s="64" t="s">
        <v>55</v>
      </c>
      <c r="C18" s="64" t="s">
        <v>65</v>
      </c>
      <c r="D18" s="60" t="s">
        <v>57</v>
      </c>
      <c r="E18" s="65">
        <v>28</v>
      </c>
      <c r="F18" s="66">
        <v>8.99</v>
      </c>
      <c r="G18" s="67">
        <f t="shared" si="0"/>
        <v>251.72</v>
      </c>
    </row>
    <row r="19" spans="1:7" x14ac:dyDescent="0.25">
      <c r="A19" s="63">
        <v>42299</v>
      </c>
      <c r="B19" s="64" t="s">
        <v>52</v>
      </c>
      <c r="C19" s="64" t="s">
        <v>53</v>
      </c>
      <c r="D19" s="60" t="s">
        <v>60</v>
      </c>
      <c r="E19" s="65">
        <v>64</v>
      </c>
      <c r="F19" s="66">
        <v>8.99</v>
      </c>
      <c r="G19" s="67">
        <f t="shared" si="0"/>
        <v>575.36</v>
      </c>
    </row>
    <row r="20" spans="1:7" x14ac:dyDescent="0.25">
      <c r="A20" s="63">
        <v>42316</v>
      </c>
      <c r="B20" s="64" t="s">
        <v>52</v>
      </c>
      <c r="C20" s="64" t="s">
        <v>67</v>
      </c>
      <c r="D20" s="60" t="s">
        <v>60</v>
      </c>
      <c r="E20" s="65">
        <v>15</v>
      </c>
      <c r="F20" s="66">
        <v>19.989999999999998</v>
      </c>
      <c r="G20" s="67">
        <f t="shared" si="0"/>
        <v>299.84999999999997</v>
      </c>
    </row>
    <row r="21" spans="1:7" x14ac:dyDescent="0.25">
      <c r="A21" s="63">
        <v>42333</v>
      </c>
      <c r="B21" s="64" t="s">
        <v>55</v>
      </c>
      <c r="C21" s="64" t="s">
        <v>56</v>
      </c>
      <c r="D21" s="60" t="s">
        <v>70</v>
      </c>
      <c r="E21" s="65">
        <v>96</v>
      </c>
      <c r="F21" s="66">
        <v>4.99</v>
      </c>
      <c r="G21" s="67">
        <f t="shared" si="0"/>
        <v>479.04</v>
      </c>
    </row>
    <row r="22" spans="1:7" x14ac:dyDescent="0.25">
      <c r="A22" s="63">
        <v>42350</v>
      </c>
      <c r="B22" s="64" t="s">
        <v>55</v>
      </c>
      <c r="C22" s="64" t="s">
        <v>68</v>
      </c>
      <c r="D22" s="60" t="s">
        <v>54</v>
      </c>
      <c r="E22" s="65">
        <v>67</v>
      </c>
      <c r="F22" s="66">
        <v>1.29</v>
      </c>
      <c r="G22" s="67">
        <f t="shared" si="0"/>
        <v>86.43</v>
      </c>
    </row>
    <row r="23" spans="1:7" x14ac:dyDescent="0.25">
      <c r="A23" s="63">
        <v>42367</v>
      </c>
      <c r="B23" s="64" t="s">
        <v>52</v>
      </c>
      <c r="C23" s="64" t="s">
        <v>67</v>
      </c>
      <c r="D23" s="60" t="s">
        <v>70</v>
      </c>
      <c r="E23" s="65">
        <v>74</v>
      </c>
      <c r="F23" s="66">
        <v>15.99</v>
      </c>
      <c r="G23" s="67">
        <f t="shared" si="0"/>
        <v>1183.26</v>
      </c>
    </row>
    <row r="24" spans="1:7" x14ac:dyDescent="0.25">
      <c r="A24" s="63">
        <v>42384</v>
      </c>
      <c r="B24" s="64" t="s">
        <v>55</v>
      </c>
      <c r="C24" s="64" t="s">
        <v>59</v>
      </c>
      <c r="D24" s="60" t="s">
        <v>57</v>
      </c>
      <c r="E24" s="65">
        <v>46</v>
      </c>
      <c r="F24" s="66">
        <v>8.99</v>
      </c>
      <c r="G24" s="67">
        <f t="shared" si="0"/>
        <v>413.54</v>
      </c>
    </row>
    <row r="25" spans="1:7" x14ac:dyDescent="0.25">
      <c r="A25" s="63">
        <v>42401</v>
      </c>
      <c r="B25" s="64" t="s">
        <v>55</v>
      </c>
      <c r="C25" s="64" t="s">
        <v>68</v>
      </c>
      <c r="D25" s="60" t="s">
        <v>57</v>
      </c>
      <c r="E25" s="65">
        <v>87</v>
      </c>
      <c r="F25" s="66">
        <v>15</v>
      </c>
      <c r="G25" s="67">
        <f t="shared" si="0"/>
        <v>1305</v>
      </c>
    </row>
    <row r="26" spans="1:7" x14ac:dyDescent="0.25">
      <c r="A26" s="63">
        <v>42418</v>
      </c>
      <c r="B26" s="64" t="s">
        <v>52</v>
      </c>
      <c r="C26" s="64" t="s">
        <v>53</v>
      </c>
      <c r="D26" s="60" t="s">
        <v>57</v>
      </c>
      <c r="E26" s="65">
        <v>4</v>
      </c>
      <c r="F26" s="66">
        <v>4.99</v>
      </c>
      <c r="G26" s="67">
        <f t="shared" si="0"/>
        <v>19.96</v>
      </c>
    </row>
    <row r="27" spans="1:7" x14ac:dyDescent="0.25">
      <c r="A27" s="63">
        <v>42436</v>
      </c>
      <c r="B27" s="64" t="s">
        <v>61</v>
      </c>
      <c r="C27" s="64" t="s">
        <v>62</v>
      </c>
      <c r="D27" s="60" t="s">
        <v>57</v>
      </c>
      <c r="E27" s="65">
        <v>7</v>
      </c>
      <c r="F27" s="66">
        <v>19.989999999999998</v>
      </c>
      <c r="G27" s="67">
        <f t="shared" si="0"/>
        <v>139.92999999999998</v>
      </c>
    </row>
    <row r="28" spans="1:7" x14ac:dyDescent="0.25">
      <c r="A28" s="63">
        <v>42453</v>
      </c>
      <c r="B28" s="64" t="s">
        <v>55</v>
      </c>
      <c r="C28" s="64" t="s">
        <v>58</v>
      </c>
      <c r="D28" s="60" t="s">
        <v>70</v>
      </c>
      <c r="E28" s="65">
        <v>50</v>
      </c>
      <c r="F28" s="66">
        <v>4.99</v>
      </c>
      <c r="G28" s="67">
        <f t="shared" si="0"/>
        <v>249.5</v>
      </c>
    </row>
    <row r="29" spans="1:7" x14ac:dyDescent="0.25">
      <c r="A29" s="63">
        <v>42470</v>
      </c>
      <c r="B29" s="64" t="s">
        <v>55</v>
      </c>
      <c r="C29" s="64" t="s">
        <v>63</v>
      </c>
      <c r="D29" s="60" t="s">
        <v>54</v>
      </c>
      <c r="E29" s="65">
        <v>66</v>
      </c>
      <c r="F29" s="66">
        <v>1.99</v>
      </c>
      <c r="G29" s="67">
        <f t="shared" si="0"/>
        <v>131.34</v>
      </c>
    </row>
    <row r="30" spans="1:7" x14ac:dyDescent="0.25">
      <c r="A30" s="63">
        <v>42487</v>
      </c>
      <c r="B30" s="64" t="s">
        <v>52</v>
      </c>
      <c r="C30" s="64" t="s">
        <v>66</v>
      </c>
      <c r="D30" s="60" t="s">
        <v>60</v>
      </c>
      <c r="E30" s="65">
        <v>96</v>
      </c>
      <c r="F30" s="66">
        <v>4.99</v>
      </c>
      <c r="G30" s="67">
        <f t="shared" si="0"/>
        <v>479.04</v>
      </c>
    </row>
    <row r="31" spans="1:7" x14ac:dyDescent="0.25">
      <c r="A31" s="63">
        <v>42504</v>
      </c>
      <c r="B31" s="64" t="s">
        <v>55</v>
      </c>
      <c r="C31" s="64" t="s">
        <v>59</v>
      </c>
      <c r="D31" s="60" t="s">
        <v>54</v>
      </c>
      <c r="E31" s="65">
        <v>53</v>
      </c>
      <c r="F31" s="66">
        <v>1.29</v>
      </c>
      <c r="G31" s="67">
        <f t="shared" si="0"/>
        <v>68.37</v>
      </c>
    </row>
    <row r="32" spans="1:7" x14ac:dyDescent="0.25">
      <c r="A32" s="63">
        <v>42521</v>
      </c>
      <c r="B32" s="64" t="s">
        <v>55</v>
      </c>
      <c r="C32" s="64" t="s">
        <v>59</v>
      </c>
      <c r="D32" s="60" t="s">
        <v>57</v>
      </c>
      <c r="E32" s="65">
        <v>80</v>
      </c>
      <c r="F32" s="66">
        <v>8.99</v>
      </c>
      <c r="G32" s="67">
        <f t="shared" si="0"/>
        <v>719.2</v>
      </c>
    </row>
    <row r="33" spans="1:7" x14ac:dyDescent="0.25">
      <c r="A33" s="63">
        <v>42538</v>
      </c>
      <c r="B33" s="64" t="s">
        <v>55</v>
      </c>
      <c r="C33" s="64" t="s">
        <v>56</v>
      </c>
      <c r="D33" s="60" t="s">
        <v>69</v>
      </c>
      <c r="E33" s="65">
        <v>5</v>
      </c>
      <c r="F33" s="66">
        <v>125</v>
      </c>
      <c r="G33" s="67">
        <f t="shared" si="0"/>
        <v>625</v>
      </c>
    </row>
    <row r="34" spans="1:7" x14ac:dyDescent="0.25">
      <c r="A34" s="63">
        <v>42555</v>
      </c>
      <c r="B34" s="64" t="s">
        <v>52</v>
      </c>
      <c r="C34" s="64" t="s">
        <v>53</v>
      </c>
      <c r="D34" s="60" t="s">
        <v>70</v>
      </c>
      <c r="E34" s="65">
        <v>62</v>
      </c>
      <c r="F34" s="66">
        <v>4.99</v>
      </c>
      <c r="G34" s="67">
        <f t="shared" si="0"/>
        <v>309.38</v>
      </c>
    </row>
    <row r="35" spans="1:7" x14ac:dyDescent="0.25">
      <c r="A35" s="63">
        <v>42572</v>
      </c>
      <c r="B35" s="64" t="s">
        <v>55</v>
      </c>
      <c r="C35" s="64" t="s">
        <v>65</v>
      </c>
      <c r="D35" s="60" t="s">
        <v>70</v>
      </c>
      <c r="E35" s="65">
        <v>55</v>
      </c>
      <c r="F35" s="66">
        <v>12.49</v>
      </c>
      <c r="G35" s="67">
        <f t="shared" si="0"/>
        <v>686.95</v>
      </c>
    </row>
    <row r="36" spans="1:7" x14ac:dyDescent="0.25">
      <c r="A36" s="63">
        <v>42589</v>
      </c>
      <c r="B36" s="64" t="s">
        <v>55</v>
      </c>
      <c r="C36" s="64" t="s">
        <v>56</v>
      </c>
      <c r="D36" s="60" t="s">
        <v>70</v>
      </c>
      <c r="E36" s="65">
        <v>42</v>
      </c>
      <c r="F36" s="66">
        <v>23.95</v>
      </c>
      <c r="G36" s="67">
        <f t="shared" si="0"/>
        <v>1005.9</v>
      </c>
    </row>
    <row r="37" spans="1:7" x14ac:dyDescent="0.25">
      <c r="A37" s="63">
        <v>42606</v>
      </c>
      <c r="B37" s="64" t="s">
        <v>61</v>
      </c>
      <c r="C37" s="64" t="s">
        <v>62</v>
      </c>
      <c r="D37" s="60" t="s">
        <v>69</v>
      </c>
      <c r="E37" s="65">
        <v>3</v>
      </c>
      <c r="F37" s="66">
        <v>275</v>
      </c>
      <c r="G37" s="67">
        <f t="shared" si="0"/>
        <v>825</v>
      </c>
    </row>
    <row r="38" spans="1:7" x14ac:dyDescent="0.25">
      <c r="A38" s="63">
        <v>42623</v>
      </c>
      <c r="B38" s="64" t="s">
        <v>55</v>
      </c>
      <c r="C38" s="64" t="s">
        <v>59</v>
      </c>
      <c r="D38" s="60" t="s">
        <v>54</v>
      </c>
      <c r="E38" s="65">
        <v>7</v>
      </c>
      <c r="F38" s="66">
        <v>1.29</v>
      </c>
      <c r="G38" s="67">
        <f t="shared" si="0"/>
        <v>9.0300000000000011</v>
      </c>
    </row>
    <row r="39" spans="1:7" x14ac:dyDescent="0.25">
      <c r="A39" s="63">
        <v>42640</v>
      </c>
      <c r="B39" s="64" t="s">
        <v>61</v>
      </c>
      <c r="C39" s="64" t="s">
        <v>62</v>
      </c>
      <c r="D39" s="60" t="s">
        <v>60</v>
      </c>
      <c r="E39" s="65">
        <v>76</v>
      </c>
      <c r="F39" s="66">
        <v>1.99</v>
      </c>
      <c r="G39" s="67">
        <f t="shared" si="0"/>
        <v>151.24</v>
      </c>
    </row>
    <row r="40" spans="1:7" x14ac:dyDescent="0.25">
      <c r="A40" s="63">
        <v>42657</v>
      </c>
      <c r="B40" s="64" t="s">
        <v>61</v>
      </c>
      <c r="C40" s="64" t="s">
        <v>64</v>
      </c>
      <c r="D40" s="60" t="s">
        <v>57</v>
      </c>
      <c r="E40" s="65">
        <v>57</v>
      </c>
      <c r="F40" s="66">
        <v>19.989999999999998</v>
      </c>
      <c r="G40" s="67">
        <f t="shared" si="0"/>
        <v>1139.4299999999998</v>
      </c>
    </row>
    <row r="41" spans="1:7" x14ac:dyDescent="0.25">
      <c r="A41" s="63">
        <v>42674</v>
      </c>
      <c r="B41" s="64" t="s">
        <v>55</v>
      </c>
      <c r="C41" s="64" t="s">
        <v>63</v>
      </c>
      <c r="D41" s="60" t="s">
        <v>54</v>
      </c>
      <c r="E41" s="65">
        <v>14</v>
      </c>
      <c r="F41" s="66">
        <v>1.29</v>
      </c>
      <c r="G41" s="67">
        <f t="shared" si="0"/>
        <v>18.060000000000002</v>
      </c>
    </row>
    <row r="42" spans="1:7" x14ac:dyDescent="0.25">
      <c r="A42" s="63">
        <v>42691</v>
      </c>
      <c r="B42" s="64" t="s">
        <v>55</v>
      </c>
      <c r="C42" s="64" t="s">
        <v>58</v>
      </c>
      <c r="D42" s="60" t="s">
        <v>57</v>
      </c>
      <c r="E42" s="65">
        <v>11</v>
      </c>
      <c r="F42" s="66">
        <v>4.99</v>
      </c>
      <c r="G42" s="67">
        <f t="shared" si="0"/>
        <v>54.89</v>
      </c>
    </row>
    <row r="43" spans="1:7" x14ac:dyDescent="0.25">
      <c r="A43" s="63">
        <v>42708</v>
      </c>
      <c r="B43" s="64" t="s">
        <v>55</v>
      </c>
      <c r="C43" s="64" t="s">
        <v>58</v>
      </c>
      <c r="D43" s="60" t="s">
        <v>57</v>
      </c>
      <c r="E43" s="65">
        <v>94</v>
      </c>
      <c r="F43" s="66">
        <v>19.989999999999998</v>
      </c>
      <c r="G43" s="67">
        <f t="shared" si="0"/>
        <v>1879.06</v>
      </c>
    </row>
    <row r="44" spans="1:7" x14ac:dyDescent="0.25">
      <c r="A44" s="63">
        <v>42725</v>
      </c>
      <c r="B44" s="64" t="s">
        <v>55</v>
      </c>
      <c r="C44" s="64" t="s">
        <v>63</v>
      </c>
      <c r="D44" s="60" t="s">
        <v>57</v>
      </c>
      <c r="E44" s="65">
        <v>28</v>
      </c>
      <c r="F44" s="66">
        <v>4.99</v>
      </c>
      <c r="G44" s="67">
        <f t="shared" si="0"/>
        <v>139.72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
  <sheetViews>
    <sheetView showGridLines="0" zoomScale="85" zoomScaleNormal="85" workbookViewId="0">
      <selection activeCell="D31" sqref="D31"/>
    </sheetView>
  </sheetViews>
  <sheetFormatPr defaultRowHeight="12.5" x14ac:dyDescent="0.25"/>
  <sheetData>
    <row r="2" spans="1:1" ht="13" x14ac:dyDescent="0.3">
      <c r="A2" s="77"/>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E23"/>
  <sheetViews>
    <sheetView workbookViewId="0">
      <selection activeCell="G20" sqref="G20"/>
    </sheetView>
  </sheetViews>
  <sheetFormatPr defaultRowHeight="12.5" x14ac:dyDescent="0.25"/>
  <cols>
    <col min="1" max="1" width="13.81640625" bestFit="1" customWidth="1"/>
    <col min="2" max="2" width="12.54296875" bestFit="1" customWidth="1"/>
  </cols>
  <sheetData>
    <row r="3" spans="1:2" x14ac:dyDescent="0.25">
      <c r="A3" s="74" t="s">
        <v>74</v>
      </c>
      <c r="B3" t="s">
        <v>76</v>
      </c>
    </row>
    <row r="4" spans="1:2" x14ac:dyDescent="0.25">
      <c r="A4" s="75" t="s">
        <v>56</v>
      </c>
      <c r="B4" s="1">
        <v>3109.4399999999996</v>
      </c>
    </row>
    <row r="5" spans="1:2" x14ac:dyDescent="0.25">
      <c r="A5" s="75" t="s">
        <v>58</v>
      </c>
      <c r="B5" s="1">
        <v>2812.1899999999996</v>
      </c>
    </row>
    <row r="6" spans="1:2" x14ac:dyDescent="0.25">
      <c r="A6" s="75" t="s">
        <v>59</v>
      </c>
      <c r="B6" s="1">
        <v>1749.87</v>
      </c>
    </row>
    <row r="7" spans="1:2" x14ac:dyDescent="0.25">
      <c r="A7" s="75" t="s">
        <v>68</v>
      </c>
      <c r="B7" s="1">
        <v>1641.43</v>
      </c>
    </row>
    <row r="8" spans="1:2" x14ac:dyDescent="0.25">
      <c r="A8" s="75" t="s">
        <v>65</v>
      </c>
      <c r="B8" s="1">
        <v>1387.7700000000002</v>
      </c>
    </row>
    <row r="9" spans="1:2" x14ac:dyDescent="0.25">
      <c r="A9" s="75" t="s">
        <v>75</v>
      </c>
      <c r="B9" s="1">
        <v>10700.699999999999</v>
      </c>
    </row>
    <row r="23" spans="5:5" x14ac:dyDescent="0.25">
      <c r="E23" s="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3:B15"/>
  <sheetViews>
    <sheetView workbookViewId="0">
      <selection activeCell="A5" sqref="A4:A7"/>
      <pivotSelection pane="bottomRight" showHeader="1" axis="axisRow" activeRow="4" previousRow="4" click="1" r:id="rId1">
        <pivotArea dataOnly="0" labelOnly="1" fieldPosition="0">
          <references count="1">
            <reference field="6" count="0"/>
          </references>
        </pivotArea>
      </pivotSelection>
    </sheetView>
  </sheetViews>
  <sheetFormatPr defaultRowHeight="12.5" x14ac:dyDescent="0.25"/>
  <cols>
    <col min="1" max="1" width="13.81640625" bestFit="1" customWidth="1"/>
    <col min="2" max="2" width="13.81640625" customWidth="1"/>
    <col min="3" max="3" width="13.81640625" bestFit="1" customWidth="1"/>
  </cols>
  <sheetData>
    <row r="3" spans="1:2" x14ac:dyDescent="0.25">
      <c r="A3" s="74" t="s">
        <v>74</v>
      </c>
      <c r="B3" t="s">
        <v>88</v>
      </c>
    </row>
    <row r="4" spans="1:2" x14ac:dyDescent="0.25">
      <c r="A4" s="78" t="s">
        <v>77</v>
      </c>
      <c r="B4" s="1">
        <v>5</v>
      </c>
    </row>
    <row r="5" spans="1:2" x14ac:dyDescent="0.25">
      <c r="A5" s="78" t="s">
        <v>78</v>
      </c>
      <c r="B5" s="1">
        <v>4</v>
      </c>
    </row>
    <row r="6" spans="1:2" x14ac:dyDescent="0.25">
      <c r="A6" s="78" t="s">
        <v>79</v>
      </c>
      <c r="B6" s="1">
        <v>3</v>
      </c>
    </row>
    <row r="7" spans="1:2" x14ac:dyDescent="0.25">
      <c r="A7" s="78" t="s">
        <v>80</v>
      </c>
      <c r="B7" s="1">
        <v>4</v>
      </c>
    </row>
    <row r="8" spans="1:2" x14ac:dyDescent="0.25">
      <c r="A8" s="78" t="s">
        <v>81</v>
      </c>
      <c r="B8" s="1">
        <v>1</v>
      </c>
    </row>
    <row r="9" spans="1:2" x14ac:dyDescent="0.25">
      <c r="A9" s="78" t="s">
        <v>82</v>
      </c>
      <c r="B9" s="1">
        <v>2</v>
      </c>
    </row>
    <row r="10" spans="1:2" x14ac:dyDescent="0.25">
      <c r="A10" s="78" t="s">
        <v>83</v>
      </c>
      <c r="B10" s="1">
        <v>1</v>
      </c>
    </row>
    <row r="11" spans="1:2" x14ac:dyDescent="0.25">
      <c r="A11" s="78" t="s">
        <v>84</v>
      </c>
      <c r="B11" s="1">
        <v>1</v>
      </c>
    </row>
    <row r="12" spans="1:2" x14ac:dyDescent="0.25">
      <c r="A12" s="78" t="s">
        <v>85</v>
      </c>
      <c r="B12" s="1">
        <v>1</v>
      </c>
    </row>
    <row r="13" spans="1:2" x14ac:dyDescent="0.25">
      <c r="A13" s="78" t="s">
        <v>86</v>
      </c>
      <c r="B13" s="1">
        <v>1</v>
      </c>
    </row>
    <row r="14" spans="1:2" x14ac:dyDescent="0.25">
      <c r="A14" s="78" t="s">
        <v>87</v>
      </c>
      <c r="B14" s="1">
        <v>1</v>
      </c>
    </row>
    <row r="15" spans="1:2" x14ac:dyDescent="0.25">
      <c r="A15" s="78" t="s">
        <v>75</v>
      </c>
      <c r="B15" s="1">
        <v>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3:B4"/>
  <sheetViews>
    <sheetView workbookViewId="0">
      <selection activeCell="D11" sqref="D11"/>
    </sheetView>
  </sheetViews>
  <sheetFormatPr defaultRowHeight="12.5" x14ac:dyDescent="0.25"/>
  <cols>
    <col min="1" max="1" width="13.81640625" bestFit="1" customWidth="1"/>
    <col min="2" max="4" width="12.54296875" bestFit="1" customWidth="1"/>
  </cols>
  <sheetData>
    <row r="3" spans="1:2" x14ac:dyDescent="0.25">
      <c r="A3" s="74" t="s">
        <v>74</v>
      </c>
      <c r="B3" t="s">
        <v>76</v>
      </c>
    </row>
    <row r="4" spans="1:2" x14ac:dyDescent="0.25">
      <c r="A4" s="75" t="s">
        <v>75</v>
      </c>
      <c r="B4"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GUI</vt:lpstr>
      <vt:lpstr>Order</vt:lpstr>
      <vt:lpstr>SalesData</vt:lpstr>
      <vt:lpstr>DASBOARD </vt:lpstr>
      <vt:lpstr>PivotTable1</vt:lpstr>
      <vt:lpstr>PivotTable2</vt:lpstr>
      <vt:lpstr>PivotTable3</vt:lpstr>
    </vt:vector>
  </TitlesOfParts>
  <Company>Carey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Carey</dc:creator>
  <cp:lastModifiedBy>Sand</cp:lastModifiedBy>
  <dcterms:created xsi:type="dcterms:W3CDTF">2001-07-24T13:46:42Z</dcterms:created>
  <dcterms:modified xsi:type="dcterms:W3CDTF">2018-06-20T07:04:56Z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4b93bc20-a39a-4289-ab41-73fb130afd46</vt:lpwstr>
  </property>
</Properties>
</file>